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C:\Users\Admin\Desktop\Land - Copy\Testcase\"/>
    </mc:Choice>
  </mc:AlternateContent>
  <xr:revisionPtr revIDLastSave="0" documentId="13_ncr:1_{BBBB617B-B4CE-4A36-9BDD-BD020B4A4695}" xr6:coauthVersionLast="47" xr6:coauthVersionMax="47" xr10:uidLastSave="{00000000-0000-0000-0000-000000000000}"/>
  <bookViews>
    <workbookView xWindow="19090" yWindow="-2600" windowWidth="25820" windowHeight="15500" firstSheet="1" xr2:uid="{00000000-000D-0000-FFFF-FFFF00000000}"/>
  </bookViews>
  <sheets>
    <sheet name="Giới hạn chức năng" sheetId="1" r:id="rId1"/>
    <sheet name="Bill" sheetId="3" r:id="rId2"/>
    <sheet name="Bảng giá"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3" l="1"/>
  <c r="E6" i="3"/>
  <c r="E5" i="3"/>
  <c r="E4" i="3"/>
  <c r="E7" i="1"/>
  <c r="E6" i="1"/>
  <c r="E5" i="1"/>
  <c r="E4" i="1"/>
</calcChain>
</file>

<file path=xl/sharedStrings.xml><?xml version="1.0" encoding="utf-8"?>
<sst xmlns="http://schemas.openxmlformats.org/spreadsheetml/2006/main" count="1070" uniqueCount="806">
  <si>
    <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</si>
  <si>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</si>
  <si>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</si>
  <si>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</si>
  <si>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</si>
  <si>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</si>
  <si>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</si>
  <si>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</si>
  <si>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</si>
  <si>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</si>
  <si>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</si>
  <si>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</si>
  <si>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</si>
  <si>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</si>
  <si>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</si>
  <si>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</si>
  <si>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</si>
  <si>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t>TOK_001</t>
  </si>
  <si>
    <t>Hiển thị token</t>
  </si>
  <si>
    <t>Hiển thị số dư token vàng và kim cương</t>
  </si>
  <si>
    <t>User đã đăng nhập</t>
  </si>
  <si>
    <t>1. Mở hệ thống
2. Quan sát khu vực hiển thị token</t>
  </si>
  <si>
    <t>Vàng reset: 5, Vàng không reset: 3, Kim cương: 10</t>
  </si>
  <si>
    <t>Hệ thống hiển thị đúng số dư token vàng và token kim cương của user</t>
  </si>
  <si>
    <t>TOK_002</t>
  </si>
  <si>
    <t>Token của Guest không hiển thị số dư user</t>
  </si>
  <si>
    <t>User chưa đăng nhập</t>
  </si>
  <si>
    <t>1. Mở hệ thống ở trạng thái Guest</t>
  </si>
  <si>
    <t>Guest session</t>
  </si>
  <si>
    <t>Không hiển thị số dư token cá nhân hoặc yêu cầu đăng nhập khi dùng chức năng cần token</t>
  </si>
  <si>
    <t>TOK_003</t>
  </si>
  <si>
    <t>Reload vẫn giữ đúng số dư token</t>
  </si>
  <si>
    <t>User đã đăng nhập và có token</t>
  </si>
  <si>
    <t>1. Mở hệ thống
2. Reload trang</t>
  </si>
  <si>
    <t>Token có sẵn</t>
  </si>
  <si>
    <t>Số dư token sau reload hiển thị đúng như dữ liệu server</t>
  </si>
  <si>
    <t>TOK_004</t>
  </si>
  <si>
    <t>Lưu sổ tay BĐS</t>
  </si>
  <si>
    <t>Trừ 1 token vàng khi lưu sổ tay BĐS</t>
  </si>
  <si>
    <t>User có đủ token vàng reset</t>
  </si>
  <si>
    <t>1. Mở chi tiết BĐS
2. Click Lưu sổ tay BĐS</t>
  </si>
  <si>
    <t>Vàng reset: 5</t>
  </si>
  <si>
    <t>Lưu thành công; token vàng reset giảm từ 5 xuống 4; token vàng không reset và kim cương không đổi</t>
  </si>
  <si>
    <t>TOK_005</t>
  </si>
  <si>
    <t>Không trừ token khi lưu thất bại</t>
  </si>
  <si>
    <t>User có đủ token vàng, API lưu lỗi</t>
  </si>
  <si>
    <t>1. Click Lưu sổ tay BĐS
2. Giả lập API lưu lỗi</t>
  </si>
  <si>
    <t>API 500</t>
  </si>
  <si>
    <t>Hiển thị lỗi lưu thất bại, token không bị trừ hoặc được rollback về số dư ban đầu</t>
  </si>
  <si>
    <t>TOK_006</t>
  </si>
  <si>
    <t>Double click lưu sổ tay BĐS</t>
  </si>
  <si>
    <t>User có đủ token vàng</t>
  </si>
  <si>
    <t>1. Double click Lưu sổ tay BĐS</t>
  </si>
  <si>
    <t>Chỉ xử lý một lần, chỉ trừ 1 token, không trừ 2 lần</t>
  </si>
  <si>
    <t>TOK_007</t>
  </si>
  <si>
    <t>Lưu lại BĐS đã có trong sổ tay</t>
  </si>
  <si>
    <t>BĐS đã được lưu trước đó</t>
  </si>
  <si>
    <t>1. Mở lại BĐS đã lưu
2. Click trạng thái lưu nếu có</t>
  </si>
  <si>
    <t>BĐS đã lưu</t>
  </si>
  <si>
    <t>Có khoảng delay để tránh double click</t>
  </si>
  <si>
    <t>TOK_008</t>
  </si>
  <si>
    <t>Cập nhật sổ tay BĐS</t>
  </si>
  <si>
    <t>Trừ 1 token vàng khi cập nhật thông tin sổ tay BĐS</t>
  </si>
  <si>
    <t>User có BĐS đã lưu và đủ token vàng</t>
  </si>
  <si>
    <t>1. Mở sổ tay BĐS
2. Sửa thông tin
3. Click Lưu thông tin</t>
  </si>
  <si>
    <t>Cập nhật thành công; token vàng reset giảm từ 5 xuống 4</t>
  </si>
  <si>
    <t>TOK_010</t>
  </si>
  <si>
    <t>Không trừ token khi dữ liệu cập nhật invalid</t>
  </si>
  <si>
    <t>User mở form cập nhật</t>
  </si>
  <si>
    <t>1. Nhập dữ liệu không hợp lệ
2. Click Lưu</t>
  </si>
  <si>
    <t>Dữ liệu invalid</t>
  </si>
  <si>
    <t>Hiển thị lỗi validation, không gọi API cập nhật, không trừ token</t>
  </si>
  <si>
    <t>TOK_011</t>
  </si>
  <si>
    <t>Không trừ token khi API cập nhật lỗi</t>
  </si>
  <si>
    <t>1. Sửa thông tin
2. Click Lưu
3. Giả lập API lỗi</t>
  </si>
  <si>
    <t>Hiển thị lỗi cập nhật thất bại, token không bị trừ hoặc rollback</t>
  </si>
  <si>
    <t>TOK_012</t>
  </si>
  <si>
    <t>Double click lưu cập nhật</t>
  </si>
  <si>
    <t>1. Sửa thông tin
2. Double click Lưu</t>
  </si>
  <si>
    <t>Chỉ xử lý một request, chỉ trừ token một lần</t>
  </si>
  <si>
    <t>TOK_013</t>
  </si>
  <si>
    <t>Thêm BĐS vào bảng so sánh</t>
  </si>
  <si>
    <t>Trừ 1 token vàng khi thêm BĐS vào bảng so sánh</t>
  </si>
  <si>
    <t>User có đủ token vàng, bảng so sánh tồn tại</t>
  </si>
  <si>
    <t>1. Mở chi tiết BĐS
2. Chọn Thêm vào bảng so sánh
3. Chọn bảng
4. Xác nhận</t>
  </si>
  <si>
    <t>BĐS được thêm vào bảng; token vàng reset giảm từ 5 xuống 4</t>
  </si>
  <si>
    <t>TOK_014</t>
  </si>
  <si>
    <t>Không trừ token khi BĐS đã tồn tại trong bảng</t>
  </si>
  <si>
    <t>BĐS đã có trong bảng so sánh</t>
  </si>
  <si>
    <t>1. Thêm lại cùng BĐS vào cùng bảng</t>
  </si>
  <si>
    <t>Same propertyId</t>
  </si>
  <si>
    <t>Không thêm trùng, hiển thị thông báo đã tồn tại, không trừ token</t>
  </si>
  <si>
    <t>TOK_016</t>
  </si>
  <si>
    <t>API thêm BĐS vào bảng lỗi</t>
  </si>
  <si>
    <t>1. Thêm BĐS vào bảng
2. Giả lập API lỗi</t>
  </si>
  <si>
    <t>Không thêm BĐS, token không bị trừ hoặc rollback</t>
  </si>
  <si>
    <t>TOK_017</t>
  </si>
  <si>
    <t>Tạo bảng so sánh</t>
  </si>
  <si>
    <t>Trừ 1 token vàng khi tạo bảng so sánh</t>
  </si>
  <si>
    <t>1. Vào màn So sánh
2. Click Tạo bảng
3. Nhập tên bảng
4. Xác nhận</t>
  </si>
  <si>
    <t>Tạo bảng thành công; token vàng reset giảm từ 5 xuống 4</t>
  </si>
  <si>
    <t>TOK_018</t>
  </si>
  <si>
    <t>Không trừ token khi tên bảng trống</t>
  </si>
  <si>
    <t>User mở form tạo bảng</t>
  </si>
  <si>
    <t>1. Để trống tên bảng
2. Click Xác nhận</t>
  </si>
  <si>
    <t>Tên trống</t>
  </si>
  <si>
    <t>Hiển thị lỗi tên bảng bắt buộc, không tạo bảng, không trừ token</t>
  </si>
  <si>
    <t>TOK_019</t>
  </si>
  <si>
    <t>Tạo bảng trùng tên vẫn trừ token nếu tạo thành công</t>
  </si>
  <si>
    <t>User đã có bảng tên A</t>
  </si>
  <si>
    <t>1. Tạo bảng mới cùng tên A</t>
  </si>
  <si>
    <t>Tên bảng A</t>
  </si>
  <si>
    <t>Nếu hệ thống cho phép trùng tên và tạo thành công thì trừ 1 token vàng</t>
  </si>
  <si>
    <t>TOK_020</t>
  </si>
  <si>
    <t>Không trừ token khi API tạo bảng lỗi</t>
  </si>
  <si>
    <t>1. Tạo bảng hợp lệ
2. Giả lập API lỗi</t>
  </si>
  <si>
    <t>Bảng không được tạo, token không bị trừ hoặc rollback</t>
  </si>
  <si>
    <t>TOK_021</t>
  </si>
  <si>
    <t>Lưu bộ lọc tin tức</t>
  </si>
  <si>
    <t>Trừ 1 token vàng khi lưu bộ lọc tin tức</t>
  </si>
  <si>
    <t>1. Vào màn tin tức/tin rao2. Thiết lập bộ lọc3. Click Lưu bộ lọc</t>
  </si>
  <si>
    <t>Bộ lọc được lưu thành công; token vàng reset giảm từ 5 xuống 4</t>
  </si>
  <si>
    <t>TOK_022</t>
  </si>
  <si>
    <t>Không trừ token khi bộ lọc invalid</t>
  </si>
  <si>
    <t>User tạo bộ lọc thiếu thông tin bắt buộc nếu có</t>
  </si>
  <si>
    <t>1. Nhập bộ lọc invalid
2. Click Lưu</t>
  </si>
  <si>
    <t>Filter invalid</t>
  </si>
  <si>
    <t>Hiển thị lỗi validation, không lưu bộ lọc, không trừ token</t>
  </si>
  <si>
    <t>TOK_023</t>
  </si>
  <si>
    <t>Không trừ token khi lưu bộ lọc lỗi</t>
  </si>
  <si>
    <t>1. Lưu bộ lọc
2. Giả lập API lỗi</t>
  </si>
  <si>
    <t>Hiển thị lỗi lưu thất bại, token không bị trừ hoặc rollback</t>
  </si>
  <si>
    <t>TOK_024</t>
  </si>
  <si>
    <t>Double click lưu bộ lọc</t>
  </si>
  <si>
    <t>1. Double click Lưu bộ lọc</t>
  </si>
  <si>
    <t>Chỉ lưu một bộ lọc hoặc xử lý idempotent, chỉ trừ token một lần</t>
  </si>
  <si>
    <t>TOK_025</t>
  </si>
  <si>
    <t>Đăng tin bán/cho thuê</t>
  </si>
  <si>
    <t>Trừ 1 token kim cương khi đăng tin bán nhà</t>
  </si>
  <si>
    <t>User có đủ token kim cương</t>
  </si>
  <si>
    <t>1. Vào màn đăng tin
2. Chọn tin bán
3. Nhập thông tin hợp lệ
4. Click Đăng tin</t>
  </si>
  <si>
    <t>Kim cương: 5</t>
  </si>
  <si>
    <t>Tin bán được đăng thành công; token kim cương giảm từ 5 xuống 4; token vàng không đổi</t>
  </si>
  <si>
    <t>TOK_026</t>
  </si>
  <si>
    <t>Trừ 1 token kim cương khi đăng tin cho thuê nhà</t>
  </si>
  <si>
    <t>1. Vào màn đăng tin2. Chọn tin cho thuê3. Nhập thông tin hợp lệ4. Click Đăng tin</t>
  </si>
  <si>
    <t>Tin cho thuê được đăng thành công; token kim cương giảm từ 5 xuống 4; token vàng không đổi</t>
  </si>
  <si>
    <t>TOK_027</t>
  </si>
  <si>
    <t>Không trừ token khi form đăng tin invalid</t>
  </si>
  <si>
    <t>User có token kim cương</t>
  </si>
  <si>
    <t>1. Mở form đăng tin
2. Bỏ trống trường bắt buộc
3. Click Đăng tin</t>
  </si>
  <si>
    <t>Form invalid</t>
  </si>
  <si>
    <t>Hiển thị lỗi validation, không đăng tin, không trừ token</t>
  </si>
  <si>
    <t>TOK_028</t>
  </si>
  <si>
    <t>Không trừ token khi API đăng tin lỗi</t>
  </si>
  <si>
    <t>1. Nhập form hợp lệ
2. Click Đăng tin
3. Giả lập API lỗi</t>
  </si>
  <si>
    <t>Tin không được đăng, token kim cương không bị trừ hoặc rollback</t>
  </si>
  <si>
    <t>TOK_029</t>
  </si>
  <si>
    <t>Double click Đăng tin</t>
  </si>
  <si>
    <t>1. Nhập form hợp lệ
2. Double click Đăng tin</t>
  </si>
  <si>
    <t>Chỉ tạo một tin, chỉ trừ token kim cương một lần</t>
  </si>
  <si>
    <t>TOK_030</t>
  </si>
  <si>
    <t>Guest đăng tin bán/cho thuê</t>
  </si>
  <si>
    <t>1. Vào màn đăng tin
2. Click Đăng tin</t>
  </si>
  <si>
    <t>Hệ thống yêu cầu đăng nhập, không trừ token</t>
  </si>
  <si>
    <t>TOK_031</t>
  </si>
  <si>
    <t>Ưu tiên trừ token vàng</t>
  </si>
  <si>
    <t>Ưu tiên trừ token vàng reset trước token vàng không reset</t>
  </si>
  <si>
    <t>User có cả 2 loại token vàng</t>
  </si>
  <si>
    <t>1. Thực hiện chức năng dùng token vàng</t>
  </si>
  <si>
    <t>Vàng reset: 2; Vàng không reset: 3</t>
  </si>
  <si>
    <t>Hệ thống trừ 1 token từ vàng reset; vàng reset còn 1; vàng không reset vẫn là 3</t>
  </si>
  <si>
    <t>TOK_032</t>
  </si>
  <si>
    <t>Khi token vàng reset hết thì dùng token vàng không reset</t>
  </si>
  <si>
    <t>User hết token vàng reset nhưng còn token vàng không reset</t>
  </si>
  <si>
    <t>Vàng reset: 0; Vàng không reset: 3</t>
  </si>
  <si>
    <t>Hệ thống trừ 1 token từ vàng không reset; vàng không reset còn 2</t>
  </si>
  <si>
    <t>TOK_033</t>
  </si>
  <si>
    <t>Token vàng reset còn đúng 1 token</t>
  </si>
  <si>
    <t>User có đúng 1 token vàng reset</t>
  </si>
  <si>
    <t>Vàng reset: 1; Vàng không reset: 5</t>
  </si>
  <si>
    <t>Giao dịch thành công; vàng reset còn 0; vàng không reset không bị trừ</t>
  </si>
  <si>
    <t>TOK_034</t>
  </si>
  <si>
    <t>Khi token vàng reset đã hết nhưng vàng không reset đủ</t>
  </si>
  <si>
    <t>User không còn vàng reset</t>
  </si>
  <si>
    <t>Vàng reset: 0; Vàng không reset: 5</t>
  </si>
  <si>
    <t>Hệ thống trừ token vàng không reset, không hiển thị prompt đổi kim cương nếu đủ token vàng không reset</t>
  </si>
  <si>
    <t>TOK_035</t>
  </si>
  <si>
    <t>Hết token vàng</t>
  </si>
  <si>
    <t>Hết cả vàng reset và vàng không reset, có token kim cương</t>
  </si>
  <si>
    <t>User không đủ token vàng, có kim cương</t>
  </si>
  <si>
    <t>Vàng reset: 0; Vàng không reset: 0; Kim cương: 5</t>
  </si>
  <si>
    <t>Hiển thị prompt hỏi user có muốn đổi token kim cương sang token vàng không</t>
  </si>
  <si>
    <t>TOK_036</t>
  </si>
  <si>
    <t>Hết token vàng và không có token kim cương</t>
  </si>
  <si>
    <t>User không đủ vàng, không có kim cương</t>
  </si>
  <si>
    <t>Vàng: 0; Kim cương: 0</t>
  </si>
  <si>
    <t>Hiển thị thông báo không đủ token và gợi ý mua gói kim cương nếu có; không thực hiện chức năng</t>
  </si>
  <si>
    <t>TOK_037</t>
  </si>
  <si>
    <t>Prompt đổi kim cương sang vàng hiển thị đúng nội dung</t>
  </si>
  <si>
    <t>User hết token vàng, còn kim cương</t>
  </si>
  <si>
    <t>Kim cương đủ đổi</t>
  </si>
  <si>
    <t>Prompt hiển thị rõ chức năng cần 1 token vàng, số kim cương cần đổi và nút Đồng ý/Hủy</t>
  </si>
  <si>
    <t>TOK_038</t>
  </si>
  <si>
    <t>Đổi kim cương sang vàng</t>
  </si>
  <si>
    <t>Đồng ý đổi kim cương sang vàng khi đủ kim cương</t>
  </si>
  <si>
    <t>Prompt đổi token đang mở</t>
  </si>
  <si>
    <t>1. Click Đồng ý đổi token</t>
  </si>
  <si>
    <t>Kim cương bị trừ theo tỷ lệ đổi, token vàng không reset được cộng tương ứng</t>
  </si>
  <si>
    <t>TOK_039</t>
  </si>
  <si>
    <t>Sau khi đổi token, tiếp tục thực hiện chức năng ban đầu</t>
  </si>
  <si>
    <t>Prompt đổi token mở từ action lưu sổ tay</t>
  </si>
  <si>
    <t>1. Click Đồng ý đổi
2. Xác nhận tiếp tục action nếu có</t>
  </si>
  <si>
    <t>Action dùng vàng</t>
  </si>
  <si>
    <t xml:space="preserve">Hệ thống đổi token thành công </t>
  </si>
  <si>
    <t>TOK_040</t>
  </si>
  <si>
    <t>Hủy prompt đổi token</t>
  </si>
  <si>
    <t>1. Click Hủy</t>
  </si>
  <si>
    <t>-</t>
  </si>
  <si>
    <t>Prompt đóng, chức năng ban đầu không thực hiện, không trừ kim cương, không cộng vàng</t>
  </si>
  <si>
    <t>TOK_041</t>
  </si>
  <si>
    <t>Đổi token thất bại do API lỗi</t>
  </si>
  <si>
    <t>User đồng ý đổi token</t>
  </si>
  <si>
    <t>1. Click Đồng ý đổi
2. Giả lập API đổi lỗi</t>
  </si>
  <si>
    <t>Hiển thị lỗi đổi token thất bại, số dư kim cương/vàng không thay đổi</t>
  </si>
  <si>
    <t>TOK_042</t>
  </si>
  <si>
    <t>Double click Đồng ý đổi token</t>
  </si>
  <si>
    <t>1. Double click Đồng ý đổi</t>
  </si>
  <si>
    <t>Kim cương đủ</t>
  </si>
  <si>
    <t>Chỉ xử lý một lần, không trừ kim cương nhiều lần</t>
  </si>
  <si>
    <t>TOK_043</t>
  </si>
  <si>
    <t>Kim cương không đủ để đổi sang vàng</t>
  </si>
  <si>
    <t>User hết vàng, kim cương thấp hơn số cần đổi</t>
  </si>
  <si>
    <t>1. Thực hiện chức năng dùng vàng
2. Click đổi nếu prompt hiển thị</t>
  </si>
  <si>
    <t>Kim cương không đủ</t>
  </si>
  <si>
    <t>Không đổi token, hiển thị thông báo không đủ kim cương và gợi ý mua gói kim cương</t>
  </si>
  <si>
    <t>TOK_044</t>
  </si>
  <si>
    <t>Token vàng không reset</t>
  </si>
  <si>
    <t>Token vàng đổi từ kim cương không bị reset qua ngày mới</t>
  </si>
  <si>
    <t>User có vàng không reset từ đổi kim cương</t>
  </si>
  <si>
    <t>1. Ghi nhận số dư
2. Qua 00:00 GMT+73. Kiểm tra số dư</t>
  </si>
  <si>
    <t>Vàng không reset: 5</t>
  </si>
  <si>
    <t>Token vàng không reset vẫn giữ nguyên sau reset hằng ngày</t>
  </si>
  <si>
    <t>TOK_045</t>
  </si>
  <si>
    <t>Token vàng từ referral không bị reset qua ngày mới</t>
  </si>
  <si>
    <t>User có vàng từ referral</t>
  </si>
  <si>
    <t>1. Ghi nhận số dư2. Qua 00:00 GMT+73. Kiểm tra số dư</t>
  </si>
  <si>
    <t>Vàng referral: 5</t>
  </si>
  <si>
    <t>Token vàng referral vẫn giữ nguyên, không bị reset</t>
  </si>
  <si>
    <t>TOK_046</t>
  </si>
  <si>
    <t>Reset token vàng</t>
  </si>
  <si>
    <t>Token vàng reset được cấp lại vào ngày mới theo giờ Việt Nam</t>
  </si>
  <si>
    <t>User đã dùng hết token vàng reset trong ngày</t>
  </si>
  <si>
    <t>1. Dùng hết token vàng reset
2. Chờ qua 00:00 theo giờ Việt Nam GMT+7
3. Kiểm tra số dư token vàng reset</t>
  </si>
  <si>
    <t>Daily quota = N</t>
  </si>
  <si>
    <t>Token vàng reset được khôi phục về hạn mức hằng ngày N sau mốc 00:00 GMT+7</t>
  </si>
  <si>
    <t>TOK_047</t>
  </si>
  <si>
    <t>Token vàng reset không cộng dồn qua ngày mới</t>
  </si>
  <si>
    <t>User còn dư token vàng reset trước 00:00 GMT+7</t>
  </si>
  <si>
    <t>1. Ghi nhận số dư trước 00:00 GMT+72. Chờ qua ngày mới3. Kiểm tra số dư</t>
  </si>
  <si>
    <t>Daily quota = N; còn dư 2</t>
  </si>
  <si>
    <t>Token vàng reset được đặt về hạn mức N, không cộng dồn thành N+2</t>
  </si>
  <si>
    <t>TOK_048</t>
  </si>
  <si>
    <t>Reset ngày mới không ảnh hưởng token vàng không reset</t>
  </si>
  <si>
    <t>User có cả vàng reset và vàng không reset</t>
  </si>
  <si>
    <t>1. Ghi nhận số dư trước 00:00 GMT+7
2. Chờ qua ngày mới
3. Kiểm tra số dư</t>
  </si>
  <si>
    <t>Token vàng reset được cấp lại theo hạn mức; token vàng không reset vẫn giữ nguyên 5</t>
  </si>
  <si>
    <t>TOK_049</t>
  </si>
  <si>
    <t>Kiểm tra đúng mốc reset theo timezone Việt Nam</t>
  </si>
  <si>
    <t>User ở thời điểm gần ngày mới</t>
  </si>
  <si>
    <t>1. Kiểm tra token lúc 23:59 GMT+7
2. Kiểm tra lại lúc 00:00 hoặc sau 00:00 GMT+7</t>
  </si>
  <si>
    <t>GMT+7</t>
  </si>
  <si>
    <t>Trước 00:00 chưa reset; từ 00:00 GMT+7 trở đi token vàng reset được cấp lại đúng hạn mức</t>
  </si>
  <si>
    <t>TOK_050</t>
  </si>
  <si>
    <t>Referral token vàng</t>
  </si>
  <si>
    <t>Cộng token vàng không reset khi user mới đăng ký bằng referral code</t>
  </si>
  <si>
    <t>User A có referral code, User B đăng ký bằng code</t>
  </si>
  <si>
    <t>1. User B đăng ký bằng referral code của A
2. Hoàn tất điều kiện referral</t>
  </si>
  <si>
    <t>Referral code hợp lệ</t>
  </si>
  <si>
    <t>User A được cộng token vàng không reset theo cấu hình</t>
  </si>
  <si>
    <t>TOK_051</t>
  </si>
  <si>
    <t>Referral code không hợp lệ</t>
  </si>
  <si>
    <t>User B nhập referral code sai</t>
  </si>
  <si>
    <t>1. Đăng ký bằng code không tồn tại</t>
  </si>
  <si>
    <t>Invalid code</t>
  </si>
  <si>
    <t>Không cộng token vàng cho ai, hiển thị lỗi referral code nếu có</t>
  </si>
  <si>
    <t>TOK_052</t>
  </si>
  <si>
    <t>Không cộng token nhiều lần cho cùng một user mới</t>
  </si>
  <si>
    <t>User B đã đăng ký bằng referral code A</t>
  </si>
  <si>
    <t>1. User B hoàn tất điều kiện referral nhiều lần hoặc retry request</t>
  </si>
  <si>
    <t>Same new user</t>
  </si>
  <si>
    <t>User A chỉ nhận token referral một lần cho User B</t>
  </si>
  <si>
    <t>TOK_053</t>
  </si>
  <si>
    <t>User không tự referral chính mình</t>
  </si>
  <si>
    <t>User dùng referral code của chính mình nếu có thể</t>
  </si>
  <si>
    <t>1. Nhập referral code của chính user</t>
  </si>
  <si>
    <t>Own referral code</t>
  </si>
  <si>
    <t>Hệ thống từ chối hoặc không cộng token vàng</t>
  </si>
  <si>
    <t>TOK_054</t>
  </si>
  <si>
    <t>Mua gói kim cương</t>
  </si>
  <si>
    <t>Cộng token kim cương sau khi mua gói thành công</t>
  </si>
  <si>
    <t>User mua gói kim cương</t>
  </si>
  <si>
    <t>1. Chọn gói kim cương
2. Thanh toán thành công</t>
  </si>
  <si>
    <t>Package diamond = M</t>
  </si>
  <si>
    <t>Token kim cương được cộng M vào tài khoản user</t>
  </si>
  <si>
    <t>TOK_055</t>
  </si>
  <si>
    <t>Không cộng kim cương khi thanh toán thất bại</t>
  </si>
  <si>
    <t>User thanh toán gói kim cương lỗi</t>
  </si>
  <si>
    <t>1. Chọn gói
2. Thanh toán thất bại</t>
  </si>
  <si>
    <t>Payment failed</t>
  </si>
  <si>
    <t>Không cộng token kim cương, hiển thị lỗi thanh toán</t>
  </si>
  <si>
    <t>TOK_056</t>
  </si>
  <si>
    <t>Không cộng trùng kim cương khi payment callback lặp</t>
  </si>
  <si>
    <t>Payment gateway gửi callback nhiều lần</t>
  </si>
  <si>
    <t>1. Thanh toán thành công2. Gửi lại callback cùng transactionId</t>
  </si>
  <si>
    <t>Same transactionId</t>
  </si>
  <si>
    <t>Chỉ cộng token kim cương một lần</t>
  </si>
  <si>
    <t>TOK_057</t>
  </si>
  <si>
    <t>Token kim cương chỉ có từ mua gói kim cương</t>
  </si>
  <si>
    <t>User thực hiện referral hoặc reset daily</t>
  </si>
  <si>
    <t>1. Kiểm tra số dư kim cương sau referral/reset</t>
  </si>
  <si>
    <t>Referral/reset</t>
  </si>
  <si>
    <t>Token kim cương không tăng từ referral hoặc reset; chỉ tăng khi mua gói thành công</t>
  </si>
  <si>
    <t>TOK_058</t>
  </si>
  <si>
    <t>Token kim cương không bị reset hằng ngày</t>
  </si>
  <si>
    <t>User có kim cương</t>
  </si>
  <si>
    <t>Kim cương: 10</t>
  </si>
  <si>
    <t>Token kim cương giữ nguyên, không bị reset theo ngày</t>
  </si>
  <si>
    <t>TOK_059</t>
  </si>
  <si>
    <t>Không đủ token kim cương</t>
  </si>
  <si>
    <t>Đăng tin khi không đủ token kim cương</t>
  </si>
  <si>
    <t>User có 0 token kim cương</t>
  </si>
  <si>
    <t>1. Nhập form đăng tin hợp lệ
2. Click Đăng tin</t>
  </si>
  <si>
    <t>Kim cương: 0</t>
  </si>
  <si>
    <t>Không đăng tin; hiển thị thông báo không đủ token kim cương/gợi ý mua gói</t>
  </si>
  <si>
    <t>TOK_060</t>
  </si>
  <si>
    <t>Không dùng vàng thay kim cương</t>
  </si>
  <si>
    <t>Không cho dùng token vàng để đăng tin bán/thuê</t>
  </si>
  <si>
    <t>User có token vàng nhưng không có token kim cương</t>
  </si>
  <si>
    <t>1. Đăng tin bán/thuê</t>
  </si>
  <si>
    <t>Vàng: 10; Kim cương: 0</t>
  </si>
  <si>
    <t>Không đăng tin; hệ thống yêu cầu token kim cương; không tự dùng token vàng</t>
  </si>
  <si>
    <t>TOK_061</t>
  </si>
  <si>
    <t>Không dùng kim cương trực tiếp cho action vàng</t>
  </si>
  <si>
    <t>Không tự trừ kim cương khi còn token vàng</t>
  </si>
  <si>
    <t>User còn token vàng và có kim cương</t>
  </si>
  <si>
    <t>1. Lưu sổ tay BĐS</t>
  </si>
  <si>
    <t>Vàng đủ, Kim cương &gt; 0</t>
  </si>
  <si>
    <t>Chức năng thành công, chỉ trừ token vàng, không trừ kim cương</t>
  </si>
  <si>
    <t>TOK_062</t>
  </si>
  <si>
    <t>Không tự trừ kim cương khi hết vàng nếu user chưa đồng ý đổi</t>
  </si>
  <si>
    <t>User hết vàng, còn kim cương</t>
  </si>
  <si>
    <t>1. Thực hiện action dùng vàng
2. Prompt hiện ra
3. Không đồng ý đổi</t>
  </si>
  <si>
    <t>Vàng 0, Kim cương đủ</t>
  </si>
  <si>
    <t>Không thực hiện chức năng, không trừ kim cương nếu user chưa xác nhận đổi</t>
  </si>
  <si>
    <t>TOK_063</t>
  </si>
  <si>
    <t>Lịch sử giao dịch token</t>
  </si>
  <si>
    <t>Ghi nhận lịch sử trừ token vàng</t>
  </si>
  <si>
    <t>User thực hiện action dùng vàng thành công</t>
  </si>
  <si>
    <t>1. Lưu sổ tay BĐS
2. Kiểm tra lịch sử token</t>
  </si>
  <si>
    <t>action save_notebook</t>
  </si>
  <si>
    <t>Lịch sử ghi nhận loại token, số lượng trừ = 1, action, thời gian, userId</t>
  </si>
  <si>
    <t>TOK_064</t>
  </si>
  <si>
    <t>Ghi nhận lịch sử trừ kim cương</t>
  </si>
  <si>
    <t>User đăng tin thành công</t>
  </si>
  <si>
    <t>1. Đăng tin bán/thuê
2. Kiểm tra lịch sử token</t>
  </si>
  <si>
    <t>action create_listing</t>
  </si>
  <si>
    <t>Lịch sử ghi nhận trừ 1 token kim cương đúng action</t>
  </si>
  <si>
    <t>TOK_065</t>
  </si>
  <si>
    <t>Ghi nhận lịch sử đổi kim cương sang vàng</t>
  </si>
  <si>
    <t>User đổi token thành công</t>
  </si>
  <si>
    <t>1. Đổi kim cương sang vàng2. Kiểm tra lịch sử token</t>
  </si>
  <si>
    <t>conversion</t>
  </si>
  <si>
    <t>Lịch sử có giao dịch trừ kim cương và cộng vàng không reset, liên kết cùng transaction</t>
  </si>
  <si>
    <t>TOK_066</t>
  </si>
  <si>
    <t>Ghi nhận lịch sử reset token vàng daily</t>
  </si>
  <si>
    <t>Đến thời điểm reset ngày mới</t>
  </si>
  <si>
    <t>1. Qua 00:00 GMT+7
2. Kiểm tra lịch sử token</t>
  </si>
  <si>
    <t>daily_reset</t>
  </si>
  <si>
    <t>Lịch sử ghi nhận reset/cấp lại token vàng hằng ngày nếu hệ thống có audit</t>
  </si>
  <si>
    <t>TOK_067</t>
  </si>
  <si>
    <t>Ghi nhận lịch sử cộng vàng từ referral</t>
  </si>
  <si>
    <t>User nhận token referral</t>
  </si>
  <si>
    <t>1. Hoàn tất referral
2. Kiểm tra lịch sử</t>
  </si>
  <si>
    <t>referral_reward</t>
  </si>
  <si>
    <t>Lịch sử ghi nhận cộng token vàng không reset từ referral code</t>
  </si>
  <si>
    <t>TOK_068</t>
  </si>
  <si>
    <t>Đồng bộ số dư</t>
  </si>
  <si>
    <t>Số dư token cập nhật ngay sau khi trừ</t>
  </si>
  <si>
    <t>User thực hiện action thành công</t>
  </si>
  <si>
    <t>1. Lưu sổ tay BĐS
2. Quan sát số dư token trên header</t>
  </si>
  <si>
    <t>Trừ 1 token</t>
  </si>
  <si>
    <t>Số dư token trên UI cập nhật ngay, không cần reload</t>
  </si>
  <si>
    <t>TOK_069</t>
  </si>
  <si>
    <t>Reload sau khi trừ token</t>
  </si>
  <si>
    <t>User vừa dùng token thành công</t>
  </si>
  <si>
    <t>1. Reload trang2. Kiểm tra số dư</t>
  </si>
  <si>
    <t>Token đã trừ</t>
  </si>
  <si>
    <t>Số dư sau reload vẫn là số dư đã trừ, không quay về số cũ</t>
  </si>
  <si>
    <t>TOK_070</t>
  </si>
  <si>
    <t>Hai tab cùng dùng token vàng</t>
  </si>
  <si>
    <t>User mở 2 tab, token chỉ đủ 1 action</t>
  </si>
  <si>
    <t>1. Tab A thực hiện action dùng vàng
2. Gần đồng thời Tab B thực hiện action dùng vàng</t>
  </si>
  <si>
    <t>Vàng đủ 1 lần</t>
  </si>
  <si>
    <t>Chỉ một action thành công; action còn lại bị chặn do không đủ token hoặc prompt đổi token</t>
  </si>
  <si>
    <t>TOK_071</t>
  </si>
  <si>
    <t>Hai request đăng tin đồng thời</t>
  </si>
  <si>
    <t>User có kim cương chỉ đủ 1 tin</t>
  </si>
  <si>
    <t>1. Gửi 2 request đăng tin cùng lúc</t>
  </si>
  <si>
    <t>Kim cương đủ 1 lần</t>
  </si>
  <si>
    <t>Chỉ một tin được đăng và trừ kim cương một lần; request còn lại thất bại do không đủ token</t>
  </si>
  <si>
    <t>TOK_072</t>
  </si>
  <si>
    <t>Response cũ không ghi đè số dư mới</t>
  </si>
  <si>
    <t>Có nhiều action token liên tiếp</t>
  </si>
  <si>
    <t>1. Thực hiện action A rồi action B nhanh
2. API A trả sau B</t>
  </si>
  <si>
    <t>A slow, B fast</t>
  </si>
  <si>
    <t>UI hiển thị số dư mới nhất, không bị response cũ ghi đè</t>
  </si>
  <si>
    <t>TOK_073</t>
  </si>
  <si>
    <t>Rollback</t>
  </si>
  <si>
    <t>Rollback khi action thành công nhưng cập nhật token thất bại</t>
  </si>
  <si>
    <t>Giả lập lỗi transaction một phần</t>
  </si>
  <si>
    <t>1. Thực hiện action dùng token
2. Action thành công nhưng token service lỗi</t>
  </si>
  <si>
    <t>Partial failure</t>
  </si>
  <si>
    <t>Hệ thống đảm bảo transaction nhất quán: hoặc cả action và token cùng thành công, hoặc rollback phù hợp</t>
  </si>
  <si>
    <t>TOK_074</t>
  </si>
  <si>
    <t>Rollback khi token đã trừ nhưng action thất bại</t>
  </si>
  <si>
    <t>Giả lập token deducted trước, action fail</t>
  </si>
  <si>
    <t>1. Thực hiện action
2. Action fail sau bước trừ token</t>
  </si>
  <si>
    <t>Token được hoàn lại hoặc giao dịch được đánh dấu failed; không mất token oan</t>
  </si>
  <si>
    <t>TOK_075</t>
  </si>
  <si>
    <t>Bảo mật</t>
  </si>
  <si>
    <t>Không cho client tự sửa số dư token</t>
  </si>
  <si>
    <t>User dùng devtool sửa số dư hiển thị</t>
  </si>
  <si>
    <t>1. Sửa số dư token trên UI
2. Thực hiện action cần token</t>
  </si>
  <si>
    <t>Fake balance</t>
  </si>
  <si>
    <t>Backend kiểm tra số dư thật, không tin số dư phía client</t>
  </si>
  <si>
    <t>TOK_076</t>
  </si>
  <si>
    <t>Không cho gọi API trừ token với userId khác</t>
  </si>
  <si>
    <t>User A cố gửi request trừ token user B</t>
  </si>
  <si>
    <t>1. Sửa userId trong request</t>
  </si>
  <si>
    <t>userId B</t>
  </si>
  <si>
    <t>Backend từ chối, chỉ thao tác trên user đang xác thực</t>
  </si>
  <si>
    <t>TOK_077</t>
  </si>
  <si>
    <t>Request dùng token phải có token đăng nhập</t>
  </si>
  <si>
    <t>Gửi request không Authorization</t>
  </si>
  <si>
    <t>1. Gọi API action cần token không có auth</t>
  </si>
  <si>
    <t>Missing token</t>
  </si>
  <si>
    <t>Backend từ chối, không thực hiện action, không trừ token</t>
  </si>
  <si>
    <t>TOK_078</t>
  </si>
  <si>
    <t>Không cho replay request dùng token đã xử lý</t>
  </si>
  <si>
    <t>Có requestId/transactionId đã thành công</t>
  </si>
  <si>
    <t>1. Replay cùng request dùng token</t>
  </si>
  <si>
    <t>Same requestId</t>
  </si>
  <si>
    <t>Không trừ token lần nữa, không tạo action trùng</t>
  </si>
  <si>
    <t>TOK_079</t>
  </si>
  <si>
    <t>UI Prompt</t>
  </si>
  <si>
    <t>Prompt đổi token đóng khi click X</t>
  </si>
  <si>
    <t>Prompt đổi kim cương sang vàng đang mở</t>
  </si>
  <si>
    <t>1. Click X/đóng prompt</t>
  </si>
  <si>
    <t>Prompt đóng, không đổi token, không thực hiện action ban đầu</t>
  </si>
  <si>
    <t>TOK_080</t>
  </si>
  <si>
    <t>Prompt đổi token không bị che khuất trên mobile</t>
  </si>
  <si>
    <t>Mobile viewport</t>
  </si>
  <si>
    <t>1. Hết vàng
2. Thực hiện action dùng vàng</t>
  </si>
  <si>
    <t>375px</t>
  </si>
  <si>
    <t>Prompt hiển thị trong viewport, nút Đồng ý/Hủy thao tác được</t>
  </si>
  <si>
    <t>TOK_081</t>
  </si>
  <si>
    <t>Prompt đổi token hiển thị đúng số token cần dùng</t>
  </si>
  <si>
    <t>User hết token vàng và còn token kim cương</t>
  </si>
  <si>
    <t>Action cost = 1</t>
  </si>
  <si>
    <t>Prompt thể hiện chức năng cần 1 token vàng và hỏi user có muốn đổi kim cương sang vàng không</t>
  </si>
  <si>
    <t>TOK_082</t>
  </si>
  <si>
    <t>Prompt hiển thị khi token vàng tổng không đủ</t>
  </si>
  <si>
    <t>User có vàng nhưng không đủ cost</t>
  </si>
  <si>
    <t>1. Thực hiện action dùng vàng</t>
  </si>
  <si>
    <t>Vàng tổng &lt; 1, Kim cương đủ</t>
  </si>
  <si>
    <t>Prompt đổi token hiển thị để user đổi kim cương sang token vàng</t>
  </si>
  <si>
    <t>TOK_083</t>
  </si>
  <si>
    <t>Gói kim cương</t>
  </si>
  <si>
    <t>Mua nhiều gói kim cương cộng dồn</t>
  </si>
  <si>
    <t>User mua gói kim cương nhiều lần</t>
  </si>
  <si>
    <t>1. Mua gói A thành công
2. Mua gói B thành công</t>
  </si>
  <si>
    <t>Package A, B</t>
  </si>
  <si>
    <t>Token kim cương được cộng dồn đúng tổng của các gói</t>
  </si>
  <si>
    <t>TOK_084</t>
  </si>
  <si>
    <t>Hủy thanh toán gói kim cương</t>
  </si>
  <si>
    <t>User bắt đầu mua gói rồi hủy</t>
  </si>
  <si>
    <t>1. Chọn gói kim cương
2. Hủy thanh toán</t>
  </si>
  <si>
    <t>Payment canceled</t>
  </si>
  <si>
    <t>Không cộng kim cương, hiển thị trạng thái hủy thanh toán</t>
  </si>
  <si>
    <t>TOK_085</t>
  </si>
  <si>
    <t>Gói kim cương hết hạn/không khả dụng</t>
  </si>
  <si>
    <t>User chọn gói không còn bán</t>
  </si>
  <si>
    <t>1. Chọn gói không khả dụng2. Thanh toán</t>
  </si>
  <si>
    <t>Inactive package</t>
  </si>
  <si>
    <t>Không cho mua, không cộng token, hiển thị thông báo gói không khả dụng</t>
  </si>
  <si>
    <t>TOK_086</t>
  </si>
  <si>
    <t>Phân quyền</t>
  </si>
  <si>
    <t>User bị khóa không được dùng token</t>
  </si>
  <si>
    <t>Tài khoản bị khóa/hạn chế</t>
  </si>
  <si>
    <t>1. Thực hiện chức năng cần token</t>
  </si>
  <si>
    <t>Locked user</t>
  </si>
  <si>
    <t>Hệ thống từ chối thao tác, không trừ token</t>
  </si>
  <si>
    <t>TOK_087</t>
  </si>
  <si>
    <t>User bị khóa không được mua gói kim cương</t>
  </si>
  <si>
    <t>1. Mua gói kim cương</t>
  </si>
  <si>
    <t>Không cho mua hoặc thanh toán theo rule, không cộng token</t>
  </si>
  <si>
    <t>TOK_088</t>
  </si>
  <si>
    <t>NFR</t>
  </si>
  <si>
    <t>Hiệu năng kiểm tra token trước action</t>
  </si>
  <si>
    <t>User thực hiện chức năng dùng token</t>
  </si>
  <si>
    <t>1. Click action dùng token
2. Đo thời gian phản hồi</t>
  </si>
  <si>
    <t>Normal network</t>
  </si>
  <si>
    <t>Hệ thống kiểm tra số dư và phản hồi trong thời gian chấp nhận được</t>
  </si>
  <si>
    <t>TOK_089</t>
  </si>
  <si>
    <t>Hệ thống chịu tải nhiều request dùng token</t>
  </si>
  <si>
    <t>Nhiều user dùng token đồng thời</t>
  </si>
  <si>
    <t>1. Mô phỏng nhiều request action dùng token</t>
  </si>
  <si>
    <t>Load test</t>
  </si>
  <si>
    <t>Token được trừ chính xác, không âm số dư, không duplicate transaction</t>
  </si>
  <si>
    <t>TOK_090</t>
  </si>
  <si>
    <t>Data validation</t>
  </si>
  <si>
    <t>Số dư token không bao giờ âm</t>
  </si>
  <si>
    <t>User có token thấp và gọi nhiều request</t>
  </si>
  <si>
    <t>1. Gửi nhiều request vượt số dư</t>
  </si>
  <si>
    <t>Vàng reset: 1 hoặc Kim cương: 1</t>
  </si>
  <si>
    <t>Backend chỉ cho tối đa 1 giao dịch thành công; số dư token không bị âm</t>
  </si>
  <si>
    <t>TOK_091</t>
  </si>
  <si>
    <t>Tất cả chức năng token vàng có cost mặc định bằng 1</t>
  </si>
  <si>
    <t>Có cấu hình cost các chức năng</t>
  </si>
  <si>
    <t>1. Kiểm tra lần lượt các action token vàng
2. Quan sát số token bị trừ</t>
  </si>
  <si>
    <t>Các action token vàng</t>
  </si>
  <si>
    <t>Mỗi action thành công chỉ trừ đúng 1 token vàng</t>
  </si>
  <si>
    <t>TOK_092</t>
  </si>
  <si>
    <t>Tất cả chức năng token kim cương có cost mặc định bằng 1</t>
  </si>
  <si>
    <t>Có cấu hình cost đăng tin</t>
  </si>
  <si>
    <t>1. Đăng tin bán
2. Đăng tin thuê
3. Quan sát số token bị trừ</t>
  </si>
  <si>
    <t>Đăng tin bán/thuê</t>
  </si>
  <si>
    <t>Mỗi lần đăng tin thành công chỉ trừ đúng 1 token kim cương</t>
  </si>
  <si>
    <t>TOK_093</t>
  </si>
  <si>
    <t>Thông báo</t>
  </si>
  <si>
    <t>Thông báo trừ token thành công</t>
  </si>
  <si>
    <t>User thực hiện action dùng token thành công</t>
  </si>
  <si>
    <t>1. Lưu sổ tay hoặc tạo bảng so sánh</t>
  </si>
  <si>
    <t>cost: 1</t>
  </si>
  <si>
    <t>Hiển thị toast/thông báo thành công, nếu có thì nêu số token đã dùng</t>
  </si>
  <si>
    <t>TOK_094</t>
  </si>
  <si>
    <t>Thông báo không đủ token vàng</t>
  </si>
  <si>
    <t>User hết vàng, không có kim cương</t>
  </si>
  <si>
    <t>Vàng 0, Kim cương 0</t>
  </si>
  <si>
    <t>Hiển thị thông báo không đủ token vàng và hướng dẫn tiếp theo</t>
  </si>
  <si>
    <t>TOK_095</t>
  </si>
  <si>
    <t>Thông báo không đủ token kim cương</t>
  </si>
  <si>
    <t>User không đủ kim cương khi đăng tin</t>
  </si>
  <si>
    <t>1. Click Đăng tin</t>
  </si>
  <si>
    <t>Kim cương 0</t>
  </si>
  <si>
    <t>Hiển thị thông báo không đủ token kim cương và gợi ý mua gói</t>
  </si>
  <si>
    <t>TOK_096</t>
  </si>
  <si>
    <t>Thông báo đổi token thành công</t>
  </si>
  <si>
    <t>User đổi kim cương sang vàng thành công</t>
  </si>
  <si>
    <t>1. Đồng ý đổi token</t>
  </si>
  <si>
    <t>Hiển thị thông báo đổi token thành công, số dư cập nhật đúng</t>
  </si>
  <si>
    <t>TOK_097</t>
  </si>
  <si>
    <t>Logging</t>
  </si>
  <si>
    <t>Log action dùng token vàng</t>
  </si>
  <si>
    <t>User dùng chức năng token vàng</t>
  </si>
  <si>
    <t>1. Thực hiện lưu sổ tay/tạo bảng/lưu filter
2. Kiểm tra log</t>
  </si>
  <si>
    <t>userId, action, tokenType</t>
  </si>
  <si>
    <t>Log có userId, action, tokenType=gold, amount=1, before/after balance, transactionId</t>
  </si>
  <si>
    <t>TOK_098</t>
  </si>
  <si>
    <t>Log action dùng token kim cương</t>
  </si>
  <si>
    <t>User đăng tin bán/thuê</t>
  </si>
  <si>
    <t>1. Đăng tin thành công
2. Kiểm tra log</t>
  </si>
  <si>
    <t>tokenType=diamond</t>
  </si>
  <si>
    <t>Log có userId, action, tokenType=diamond, amount=1, before/after balance, transactionId</t>
  </si>
  <si>
    <t>TOK_099</t>
  </si>
  <si>
    <t>Log giao dịch thất bại không làm thay đổi số dư</t>
  </si>
  <si>
    <t>Action dùng token thất bại</t>
  </si>
  <si>
    <t>1. Gây lỗi action/token
2. Kiểm tra log và số dư</t>
  </si>
  <si>
    <t>Failed transaction</t>
  </si>
  <si>
    <t>Log ghi failed nếu có; số dư không đổi hoặc được rollback chính xác</t>
  </si>
  <si>
    <t>TOK_100</t>
  </si>
  <si>
    <t>Regression tổng hợp</t>
  </si>
  <si>
    <t>Luồng tổng hợp dùng vàng reset, vàng không reset, đổi kim cương và reset GMT+7</t>
  </si>
  <si>
    <t>User có token vàng reset, vàng không reset và kim cương</t>
  </si>
  <si>
    <t>1. Dùng chức năng vàng đến hết token reset
2. Tiếp tục dùng đến hết token vàng không reset
3. Thực hiện thêm action vàng để hiện prompt đổi kim cương
4. Đồng ý đổi token
5. Qua 00:00 GMT+7 kiểm tra reset</t>
  </si>
  <si>
    <t>Cost mỗi action = 1</t>
  </si>
  <si>
    <t>Hệ thống trừ đúng 1 token mỗi action, đúng thứ tự ưu tiên, prompt đúng khi hết vàng, đổi token đúng, token reset được cấp lại theo giờ Việt Nam</t>
  </si>
  <si>
    <t>PAYTOK_001</t>
  </si>
  <si>
    <t>Danh sách gói token</t>
  </si>
  <si>
    <t>Hiển thị danh sách gói token kim cương</t>
  </si>
  <si>
    <t>1. Vào màn mua token/gói kim cương
2. Quan sát danh sách gói</t>
  </si>
  <si>
    <t>Gói 10, 50, 100 token</t>
  </si>
  <si>
    <t>Hiển thị đầy đủ các gói token kim cương, số lượng token và giá tiền tương ứng</t>
  </si>
  <si>
    <t>Pending</t>
  </si>
  <si>
    <t>Happy case</t>
  </si>
  <si>
    <t>PAYTOK_003</t>
  </si>
  <si>
    <t>Hiển thị đúng giá tiền của từng gói</t>
  </si>
  <si>
    <t>Có cấu hình giá gói</t>
  </si>
  <si>
    <t>1. Mở màn mua token
2. So sánh giá trên UI với cấu hình backend</t>
  </si>
  <si>
    <t>Gói A: 100.000đ</t>
  </si>
  <si>
    <t>Giá hiển thị đúng theo cấu hình backend</t>
  </si>
  <si>
    <t>Data accuracy</t>
  </si>
  <si>
    <t>PAYTOK_004</t>
  </si>
  <si>
    <t>Hiển thị đúng số token nhận được</t>
  </si>
  <si>
    <t>Có cấu hình số token/gói</t>
  </si>
  <si>
    <t>1. Mở màn mua token
2. Quan sát số token từng gói</t>
  </si>
  <si>
    <t>Gói A: 10 token</t>
  </si>
  <si>
    <t>Số token nhận được hiển thị đúng theo cấu hình</t>
  </si>
  <si>
    <t>PAYTOK_005</t>
  </si>
  <si>
    <t>Tạo giao dịch</t>
  </si>
  <si>
    <t>Chọn gói token hợp lệ</t>
  </si>
  <si>
    <t>User đã đăng nhập, có gói active</t>
  </si>
  <si>
    <t>1. Chọn một gói token
2. Click Mua ngay/Thanh toán</t>
  </si>
  <si>
    <t>Gói 10 token</t>
  </si>
  <si>
    <t>Hệ thống tạo giao dịch mua token và chuyển sang bước thanh toán</t>
  </si>
  <si>
    <t>PAYTOK_006</t>
  </si>
  <si>
    <t>Guest mua token</t>
  </si>
  <si>
    <t>1. Mở màn mua token
2. Chọn gói
3. Click Mua ngay</t>
  </si>
  <si>
    <t>Hệ thống yêu cầu đăng nhập, không tạo giao dịch mua token</t>
  </si>
  <si>
    <t>Auth required</t>
  </si>
  <si>
    <t>PAYTOK_008</t>
  </si>
  <si>
    <t>Không cho sửa giá gói từ client</t>
  </si>
  <si>
    <t>User dùng Intercept sửa amount</t>
  </si>
  <si>
    <t>1. Chọn gói
2. Sửa amount request thành số nhỏ hơn
3. Gửi request</t>
  </si>
  <si>
    <t>Giá client sửa: 1đ</t>
  </si>
  <si>
    <t>Backend dùng giá thật từ cấu hình server, không dùng giá client gửi</t>
  </si>
  <si>
    <t>Security</t>
  </si>
  <si>
    <t>PAYTOK_009</t>
  </si>
  <si>
    <t>Không cho sửa số token nhận được từ client</t>
  </si>
  <si>
    <t>User sửa số token trong request</t>
  </si>
  <si>
    <t>1. Chọn gói
2. Sửa quantity/tokenAmount trong request
3. Gửi request</t>
  </si>
  <si>
    <t>tokenAmount = 9999</t>
  </si>
  <si>
    <t>Backend dùng số token theo cấu hình gói, không tin dữ liệu client</t>
  </si>
  <si>
    <t>PAYTOK_010</t>
  </si>
  <si>
    <t>Double click nút Mua ngay</t>
  </si>
  <si>
    <t>User chọn gói hợp lệ</t>
  </si>
  <si>
    <t>1. Double click Mua ngay</t>
  </si>
  <si>
    <t>Chỉ tạo một giao dịch thanh toán</t>
  </si>
  <si>
    <t>Idempotency</t>
  </si>
  <si>
    <t>PAYTOK_011</t>
  </si>
  <si>
    <t>Thanh toán</t>
  </si>
  <si>
    <t>Thanh toán thành công gói token</t>
  </si>
  <si>
    <t>User đã tạo giao dịch mua token</t>
  </si>
  <si>
    <t>1. Chọn gói token
2. Thanh toán thành công</t>
  </si>
  <si>
    <t>Gói 10 token, giá 100.000đ</t>
  </si>
  <si>
    <t>Hệ thống ghi nhận thanh toán thành công, trừ tiền thành công và cộng đúng token kim cương cho user</t>
  </si>
  <si>
    <t>PAYTOK_012</t>
  </si>
  <si>
    <t>Thanh toán thất bại</t>
  </si>
  <si>
    <t>User đang ở cổng thanh toán</t>
  </si>
  <si>
    <t>Không cộng token, giao dịch ở trạng thái thất bại, không ghi nhận trừ tiền thành công trong hệ thống</t>
  </si>
  <si>
    <t>Exception</t>
  </si>
  <si>
    <t>PAYTOK_013</t>
  </si>
  <si>
    <t>User hủy thanh toán</t>
  </si>
  <si>
    <t>User đã chuyển sang cổng thanh toán</t>
  </si>
  <si>
    <t>1. Chọn gói
2. Tại cổng thanh toán chọn Hủy</t>
  </si>
  <si>
    <t>Không cộng token, giao dịch ở trạng thái hủy/chưa thanh toán</t>
  </si>
  <si>
    <t>PAYTOK_014</t>
  </si>
  <si>
    <t>Thanh toán pending</t>
  </si>
  <si>
    <t>Cổng thanh toán trả trạng thái pending</t>
  </si>
  <si>
    <t>1. Thanh toán gói token
2. Gateway trả pending</t>
  </si>
  <si>
    <t>Payment pending</t>
  </si>
  <si>
    <t>Chưa cộng token ngay; giao dịch hiển thị đang xử lý/chờ thanh toán</t>
  </si>
  <si>
    <t>Edge case</t>
  </si>
  <si>
    <t>PAYTOK_017</t>
  </si>
  <si>
    <t>Callback success bị gửi nhiều lần</t>
  </si>
  <si>
    <t>Gateway gửi callback lặp</t>
  </si>
  <si>
    <t>1. Thanh toán thành công
2. Gửi callback success nhiều lần cùng transactionId</t>
  </si>
  <si>
    <t>Chỉ cộng token một lần, không cộng trùng</t>
  </si>
  <si>
    <t>PAYTOK_018</t>
  </si>
  <si>
    <t>Callback thất bại gửi sau callback thành công</t>
  </si>
  <si>
    <t>Giao dịch đã success</t>
  </si>
  <si>
    <t>1. Gửi callback success
2. Sau đó gửi callback failed cùng transactionId</t>
  </si>
  <si>
    <t>Success → Failed callback</t>
  </si>
  <si>
    <t>Trạng thái cuối vẫn là success, token không bị trừ lại/không rollback sai</t>
  </si>
  <si>
    <t>Race condition</t>
  </si>
  <si>
    <t>PAYTOK_019</t>
  </si>
  <si>
    <t>Callback success sai chữ ký</t>
  </si>
  <si>
    <t>Có cơ chế xác thực callback</t>
  </si>
  <si>
    <t>1. Gửi callback success với signature sai</t>
  </si>
  <si>
    <t>Invalid signature</t>
  </si>
  <si>
    <t>Hệ thống từ chối callback, không cộng token</t>
  </si>
  <si>
    <t>PAYTOK_020</t>
  </si>
  <si>
    <t>Callback success đúng chữ ký</t>
  </si>
  <si>
    <t>Gateway gửi callback hợp lệ</t>
  </si>
  <si>
    <t>1. Gửi callback đúng signature</t>
  </si>
  <si>
    <t>Valid callback</t>
  </si>
  <si>
    <t>Hệ thống xác thực callback và xử lý cộng token đúng</t>
  </si>
  <si>
    <t>PAYTOK_021</t>
  </si>
  <si>
    <t>Cộng token</t>
  </si>
  <si>
    <t>Cộng đúng số token kim cương sau thanh toán thành công</t>
  </si>
  <si>
    <t>User có số dư token kim cương ban đầu</t>
  </si>
  <si>
    <t>1. Ghi nhận số dư token
2. Mua gói token thành công
3. Kiểm tra số dư</t>
  </si>
  <si>
    <t>Ban đầu: 5, gói mua: 10</t>
  </si>
  <si>
    <t>Token kim cương tăng từ 5 lên 15</t>
  </si>
  <si>
    <t>PAYTOK_022</t>
  </si>
  <si>
    <t>Không cộng token khi thanh toán thất bại</t>
  </si>
  <si>
    <t>User có số dư token ban đầu</t>
  </si>
  <si>
    <t>1. Ghi nhận số dư
2. Thanh toán thất bại
3. Kiểm tra số dư</t>
  </si>
  <si>
    <t>Ban đầu: 5</t>
  </si>
  <si>
    <t>Token kim cương vẫn là 5</t>
  </si>
  <si>
    <t>PAYTOK_023</t>
  </si>
  <si>
    <t>Không cộng token khi user hủy thanh toán</t>
  </si>
  <si>
    <t>User hủy giao dịch</t>
  </si>
  <si>
    <t>1. Ghi nhận số dư
2. Hủy thanh toán
3. Kiểm tra số dư</t>
  </si>
  <si>
    <t>Token kim cương không thay đổi</t>
  </si>
  <si>
    <t>PAYTOK_024</t>
  </si>
  <si>
    <t>Cộng token đúng gói được mua</t>
  </si>
  <si>
    <t>Có nhiều gói token</t>
  </si>
  <si>
    <t>1. Mua gói A
2. Kiểm tra số token cộng
3. Mua gói B
4. Kiểm tra số token cộng</t>
  </si>
  <si>
    <t>Gói A: 10, Gói B: 50</t>
  </si>
  <si>
    <t>Mỗi giao dịch cộng đúng số token của gói đã chọn</t>
  </si>
  <si>
    <t>PAYTOK_025</t>
  </si>
  <si>
    <t>Mua nhiều gói liên tiếp cộng dồn token</t>
  </si>
  <si>
    <t>User mua nhiều lần</t>
  </si>
  <si>
    <t>1. Mua gói 10 token
2. Mua gói 50 token
3. Kiểm tra số dư</t>
  </si>
  <si>
    <t>Ban đầu 0</t>
  </si>
  <si>
    <t>Số dư token kim cương = 60</t>
  </si>
  <si>
    <t>Regression</t>
  </si>
  <si>
    <t>PAYTOK_028</t>
  </si>
  <si>
    <t>Số dư token cập nhật ngay trên UI</t>
  </si>
  <si>
    <t>Thanh toán thành công</t>
  </si>
  <si>
    <t>1. Thanh toán thành công
2. Quay về hệ thống
3. Quan sát số dư token</t>
  </si>
  <si>
    <t>Số dư token trên header/tài khoản cập nhật ngay sau khi refresh</t>
  </si>
  <si>
    <t>UX</t>
  </si>
  <si>
    <t>PAYTOK_029</t>
  </si>
  <si>
    <t>Reload sau khi mua token thành công</t>
  </si>
  <si>
    <t>User vừa mua token</t>
  </si>
  <si>
    <t>1. Mua token thành công
2. Reload trang
3. Kiểm tra số dư</t>
  </si>
  <si>
    <t>Token đã cộng</t>
  </si>
  <si>
    <t>Số dư token vẫn đúng sau reload, không mất token</t>
  </si>
  <si>
    <t>PAYTOK_039</t>
  </si>
  <si>
    <t>Hacker sửa packageId sang gói rẻ hơn nhưng giữ token gói đắt</t>
  </si>
  <si>
    <t>User dùng Intercept</t>
  </si>
  <si>
    <t>1. Chọn gói đắt
2. Sửa packageId/amount/tokenAmount trong request</t>
  </si>
  <si>
    <t>packageId/amount fake</t>
  </si>
  <si>
    <t>Backend lấy toàn bộ thông tin gói từ server, không mua được sai giá/sai token</t>
  </si>
  <si>
    <t>Tampering</t>
  </si>
  <si>
    <t>PAYTOK_040</t>
  </si>
  <si>
    <t>Hacker replay callback thanh toán</t>
  </si>
  <si>
    <t>Có callback thành công cũ</t>
  </si>
  <si>
    <t>1. Gửi lại callback cũ cùng transactionId</t>
  </si>
  <si>
    <t>Old callback</t>
  </si>
  <si>
    <t>Không cộng thêm token, không tạo giao dịch mới</t>
  </si>
  <si>
    <t>Replay</t>
  </si>
  <si>
    <t>PAYTOK_041</t>
  </si>
  <si>
    <t>Hacker tự gọi API cộng token</t>
  </si>
  <si>
    <t>User đăng nhập thường</t>
  </si>
  <si>
    <t>1. Gọi API cộng token trực tiếp</t>
  </si>
  <si>
    <t>addToken API</t>
  </si>
  <si>
    <t>Backend từ chối nếu không phải luồng thanh toán hợp lệ/system role</t>
  </si>
  <si>
    <t>Critical</t>
  </si>
  <si>
    <t>PAYTOK_042</t>
  </si>
  <si>
    <t>Hacker tự tạo transaction success từ client</t>
  </si>
  <si>
    <t>User sửa request trạng thái thanh toán</t>
  </si>
  <si>
    <t>1. Tạo order
2. Gửi request update status = success từ client</t>
  </si>
  <si>
    <t>status=success</t>
  </si>
  <si>
    <t>Backend không cho client tự cập nhật success; chỉ nhận từ gateway/server trusted</t>
  </si>
  <si>
    <t>Payment security</t>
  </si>
  <si>
    <t>PAYTOK_048</t>
  </si>
  <si>
    <t>Không lộ thông tin thanh toán nhạy cảm</t>
  </si>
  <si>
    <t>Giao dịch thanh toán lỗi/thành công</t>
  </si>
  <si>
    <t>1. Mở response API/log nếu có</t>
  </si>
  <si>
    <t>Payment token/card data</t>
  </si>
  <si>
    <t>Không trả/lộ access token, payment secret, thông tin thẻ, raw callback nhạy cảm</t>
  </si>
  <si>
    <t>Privacy</t>
  </si>
  <si>
    <t>PAYTOK_061</t>
  </si>
  <si>
    <t>Hóa đơn</t>
  </si>
  <si>
    <t>Tạo hóa đơn sau khi mua token thành công</t>
  </si>
  <si>
    <t>User thanh toán thành công</t>
  </si>
  <si>
    <t>1. Mua token
2. Kiểm tra hóa đơn</t>
  </si>
  <si>
    <t>Payment success</t>
  </si>
  <si>
    <t>Hệ thống tạo hóa đơn đúng giao dịch mua token nếu có chức năng hóa đơn</t>
  </si>
  <si>
    <t>Invoice</t>
  </si>
  <si>
    <t>PAYTOK_062</t>
  </si>
  <si>
    <t>Không tạo hóa đơn khi mua token thất bại</t>
  </si>
  <si>
    <t>1. Thanh toán thất bại
2. Kiểm tra hóa đơn</t>
  </si>
  <si>
    <t>Failed</t>
  </si>
  <si>
    <t>Không phát sinh hóa đơn thành công</t>
  </si>
  <si>
    <t>PAYTOK_064</t>
  </si>
  <si>
    <t>Hiển thị thông báo mua token thành công</t>
  </si>
  <si>
    <t>1. Mua token thành công
2. Quan sát UI</t>
  </si>
  <si>
    <t>Success</t>
  </si>
  <si>
    <t>Hiển thị toast/trang kết quả mua token thành công</t>
  </si>
  <si>
    <t>PAYTOK_065</t>
  </si>
  <si>
    <t>Hiển thị thông báo mua token thất bại</t>
  </si>
  <si>
    <t>1. Thanh toán thất bại
2. Quay về hệ thống</t>
  </si>
  <si>
    <t>Hiển thị thông báo thanh toán thất bại, token không được cộng</t>
  </si>
  <si>
    <t>PAYTOK_067</t>
  </si>
  <si>
    <t>Log giao dịch</t>
  </si>
  <si>
    <t>Ghi log giao dịch mua token thành công</t>
  </si>
  <si>
    <t>User mua token</t>
  </si>
  <si>
    <t>1. Mua token thành công
2. Kiểm tra log/audit nếu có</t>
  </si>
  <si>
    <t>transactionId</t>
  </si>
  <si>
    <t>Log ghi userId, packageId, amount, tokenAmount, transactionId, trạng thái success</t>
  </si>
  <si>
    <t>Audit</t>
  </si>
  <si>
    <t>PAYTOK_069</t>
  </si>
  <si>
    <t>Ghi lịch sử biến động token</t>
  </si>
  <si>
    <t>Token được cộng sau thanh toán</t>
  </si>
  <si>
    <t>1. Mua token
2. Kiểm tra lịch sử token</t>
  </si>
  <si>
    <t>+10 diamond</t>
  </si>
  <si>
    <t>Lịch sử token có giao dịch cộng token kim cương từ mua gói</t>
  </si>
  <si>
    <t>PAYTOK_070</t>
  </si>
  <si>
    <t>Không ghi lịch sử cộng token khi thanh toán thất bại</t>
  </si>
  <si>
    <t>1. Thanh toán thất bại
2. Kiểm tra lịch sử token</t>
  </si>
  <si>
    <t>Không có giao dịch cộng token kim cương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</si>
</sst>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Arial"/>
      <family val="2"/>
      <scheme val="minor"/>
    </font>
    <font>
      <b/>
      <sz val="16"/>
      <name val="Times New Roman"/>
      <family val="1"/>
    </font>
    <font>
      <sz val="16"/>
      <name val="Times New Roman"/>
      <family val="1"/>
    </font>
    <font>
      <b/>
      <sz val="11"/>
      <name val="Times New Roman"/>
      <family val="1"/>
    </font>
    <font>
      <b/>
      <sz val="11"/>
      <color rgb="FFFF0000"/>
      <name val="Times New Roman"/>
      <family val="1"/>
    </font>
    <font>
      <b/>
      <sz val="11"/>
      <color rgb="FF333333"/>
      <name val="Times New Roman"/>
      <family val="1"/>
    </font>
    <font>
      <sz val="11"/>
      <name val="Times New Roman"/>
      <family val="1"/>
    </font>
    <font>
      <i/>
      <sz val="9"/>
      <name val="Times New Roman"/>
      <family val="1"/>
    </font>
    <font>
      <sz val="9"/>
      <name val="Times New Roman"/>
      <family val="1"/>
    </font>
    <font>
      <b/>
      <sz val="11"/>
      <color theme="1"/>
      <name val="Times New Roman"/>
      <family val="1"/>
    </font>
    <font>
      <i/>
      <sz val="9"/>
      <color theme="1"/>
      <name val="Times New Roman"/>
      <family val="1"/>
    </font>
  </fonts>
  <fills count="4">
    <fill>
      <patternFill patternType="none"/>
    </fill>
    <fill>
      <patternFill patternType="gray125"/>
    </fill>
    <fill>
      <patternFill patternType="solid">
        <fgColor indexed="9"/>
        <bgColor indexed="64"/>
      </patternFill>
    </fill>
    <fill>
      <patternFill patternType="solid">
        <fgColor theme="4" tint="0.3999755851924192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3" fillId="2" borderId="11" xfId="0" applyFont="1" applyFill="1" applyBorder="1" applyAlignment="1">
      <alignment vertical="center" wrapText="1"/>
    </xf>
    <xf numFmtId="0" fontId="4" fillId="0" borderId="12" xfId="0" applyFont="1" applyBorder="1" applyAlignment="1">
      <alignment horizontal="center" vertical="center" wrapText="1"/>
    </xf>
    <xf numFmtId="0" fontId="0" fillId="0" borderId="0" xfId="0" applyAlignment="1">
      <alignment vertical="center" wrapText="1"/>
    </xf>
    <xf numFmtId="0" fontId="5" fillId="0" borderId="0" xfId="0" applyFont="1" applyAlignment="1">
      <alignment horizontal="right" vertical="center" wrapText="1"/>
    </xf>
    <xf numFmtId="0" fontId="3" fillId="2" borderId="0" xfId="0" applyFont="1" applyFill="1" applyAlignment="1">
      <alignment vertical="center" wrapText="1"/>
    </xf>
    <xf numFmtId="0" fontId="6" fillId="0" borderId="0" xfId="0" applyFont="1" applyAlignment="1">
      <alignment horizontal="center" vertical="center" wrapText="1"/>
    </xf>
    <xf numFmtId="0" fontId="3" fillId="3"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22D80409-13B5-4174-9B64-F205A132A25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tabSelected="1" topLeftCell="B1" workbookViewId="0"/>
  </sheetViews>
  <sheetFormatPr defaultRowHeight="13.9"/>
  <cols>
    <col min="1" max="1" width="11.75" customWidth="1"/>
    <col min="2" max="2" width="15.5" customWidth="1"/>
    <col min="3" max="3" width="21.75" customWidth="1"/>
    <col min="4" max="4" width="23" customWidth="1"/>
    <col min="5" max="5" width="24.875" customWidth="1"/>
    <col min="6" max="6" width="21.625" customWidth="1"/>
    <col min="7" max="7" width="24.75" customWidth="1"/>
    <col min="8" max="8" width="20.75" customWidth="1"/>
    <col min="9" max="9" width="16.75" customWidth="1"/>
    <col min="10" max="10" width="16.625" customWidth="1"/>
    <col min="11" max="11" width="14.375" customWidth="1"/>
  </cols>
  <sheetData>
    <row r="1" spans="1:11">
      <c r="A1" s="10" t="s">
        <v>0</v>
      </c>
      <c r="B1" s="11"/>
      <c r="C1" s="11"/>
      <c r="D1" s="11"/>
      <c r="E1" s="12"/>
      <c r="F1" s="1"/>
      <c r="G1" s="1"/>
      <c r="H1" s="1"/>
      <c r="I1" s="1"/>
      <c r="J1" s="1"/>
      <c r="K1" s="1"/>
    </row>
    <row r="2" spans="1:11">
      <c r="A2" s="13"/>
      <c r="B2" s="14"/>
      <c r="C2" s="14"/>
      <c r="D2" s="14"/>
      <c r="E2" s="15"/>
      <c r="F2" s="1"/>
      <c r="G2" s="1"/>
      <c r="H2" s="1"/>
      <c r="I2" s="1"/>
      <c r="J2" s="1"/>
      <c r="K2" s="1"/>
    </row>
    <row r="3" spans="1:11">
      <c r="A3" s="16"/>
      <c r="B3" s="17"/>
      <c r="C3" s="17"/>
      <c r="D3" s="17"/>
      <c r="E3" s="18"/>
      <c r="F3" s="1"/>
      <c r="G3" s="1"/>
      <c r="H3" s="1"/>
      <c r="I3" s="1"/>
      <c r="J3" s="1"/>
      <c r="K3" s="1"/>
    </row>
    <row r="4" spans="1:11">
      <c r="A4" s="19" t="s">
        <v>1</v>
      </c>
      <c r="B4" s="20"/>
      <c r="C4" s="21"/>
      <c r="D4" s="2" t="s">
        <v>2</v>
      </c>
      <c r="E4" s="3">
        <f>COUNTIF(H11:H401,"PASS")</f>
        <v>0</v>
      </c>
      <c r="F4" s="4"/>
      <c r="G4" s="4"/>
      <c r="H4" s="4"/>
      <c r="I4" s="4"/>
      <c r="J4" s="4"/>
      <c r="K4" s="4"/>
    </row>
    <row r="5" spans="1:11">
      <c r="A5" s="19" t="s">
        <v>3</v>
      </c>
      <c r="B5" s="20"/>
      <c r="C5" s="21"/>
      <c r="D5" s="2"/>
      <c r="E5" s="3">
        <f>COUNTIF(H11:H401,"FAIL")</f>
        <v>0</v>
      </c>
      <c r="F5" s="4"/>
      <c r="G5" s="4"/>
      <c r="H5" s="4"/>
      <c r="I5" s="4"/>
      <c r="J5" s="4"/>
      <c r="K5" s="4"/>
    </row>
    <row r="6" spans="1:11">
      <c r="A6" s="19" t="s">
        <v>4</v>
      </c>
      <c r="B6" s="20"/>
      <c r="C6" s="21"/>
      <c r="D6" s="2"/>
      <c r="E6" s="3">
        <f>COUNTIF(H11:H401,"Pending")</f>
        <v>0</v>
      </c>
      <c r="G6" s="4"/>
      <c r="H6" s="4"/>
      <c r="I6" s="4"/>
      <c r="J6" s="4"/>
      <c r="K6" s="4"/>
    </row>
    <row r="7" spans="1:11">
      <c r="A7" s="19" t="s">
        <v>5</v>
      </c>
      <c r="B7" s="20"/>
      <c r="C7" s="21"/>
      <c r="D7" s="2"/>
      <c r="E7" s="3">
        <f>COUNTA(H11:H401)</f>
        <v>0</v>
      </c>
      <c r="F7" s="4"/>
      <c r="G7" s="4"/>
      <c r="H7" s="4"/>
      <c r="I7" s="4"/>
      <c r="J7" s="4"/>
      <c r="K7" s="4"/>
    </row>
    <row r="8" spans="1:11">
      <c r="A8" s="5"/>
      <c r="B8" s="6"/>
      <c r="C8" s="6"/>
      <c r="D8" s="6"/>
      <c r="E8" s="6"/>
      <c r="F8" s="7"/>
      <c r="G8" s="7"/>
      <c r="H8" s="7"/>
      <c r="I8" s="7"/>
      <c r="J8" s="7"/>
      <c r="K8" s="7"/>
    </row>
    <row r="9" spans="1:11" ht="37.9">
      <c r="A9" s="8" t="s">
        <v>6</v>
      </c>
      <c r="B9" s="8" t="s">
        <v>7</v>
      </c>
      <c r="C9" s="8" t="s">
        <v>8</v>
      </c>
      <c r="D9" s="8" t="s">
        <v>9</v>
      </c>
      <c r="E9" s="8" t="s">
        <v>10</v>
      </c>
      <c r="F9" s="8" t="s">
        <v>11</v>
      </c>
      <c r="G9" s="8" t="s">
        <v>12</v>
      </c>
      <c r="H9" s="8" t="s">
        <v>13</v>
      </c>
      <c r="I9" s="8" t="s">
        <v>14</v>
      </c>
      <c r="J9" s="8" t="s">
        <v>15</v>
      </c>
      <c r="K9" s="9" t="s">
        <v>16</v>
      </c>
    </row>
    <row r="10" spans="1:11" ht="41.45">
      <c r="A10" s="4" t="s">
        <v>17</v>
      </c>
      <c r="B10" s="4" t="s">
        <v>18</v>
      </c>
      <c r="C10" s="4" t="s">
        <v>19</v>
      </c>
      <c r="D10" s="4" t="s">
        <v>20</v>
      </c>
      <c r="E10" s="4" t="s">
        <v>21</v>
      </c>
      <c r="F10" s="4" t="s">
        <v>22</v>
      </c>
      <c r="G10" s="4" t="s">
        <v>23</v>
      </c>
      <c r="H10" s="4"/>
      <c r="I10" s="4"/>
      <c r="J10" s="4"/>
      <c r="K10" s="4"/>
    </row>
    <row r="11" spans="1:11" ht="55.15">
      <c r="A11" s="4" t="s">
        <v>24</v>
      </c>
      <c r="B11" s="4" t="s">
        <v>18</v>
      </c>
      <c r="C11" s="4" t="s">
        <v>25</v>
      </c>
      <c r="D11" s="4" t="s">
        <v>26</v>
      </c>
      <c r="E11" s="4" t="s">
        <v>27</v>
      </c>
      <c r="F11" s="4" t="s">
        <v>28</v>
      </c>
      <c r="G11" s="4" t="s">
        <v>29</v>
      </c>
      <c r="H11" s="4"/>
      <c r="I11" s="4"/>
      <c r="J11" s="4"/>
      <c r="K11" s="4"/>
    </row>
    <row r="12" spans="1:11" ht="27.6">
      <c r="A12" s="4" t="s">
        <v>30</v>
      </c>
      <c r="B12" s="4" t="s">
        <v>18</v>
      </c>
      <c r="C12" s="4" t="s">
        <v>31</v>
      </c>
      <c r="D12" s="4" t="s">
        <v>32</v>
      </c>
      <c r="E12" s="4" t="s">
        <v>33</v>
      </c>
      <c r="F12" s="4" t="s">
        <v>34</v>
      </c>
      <c r="G12" s="4" t="s">
        <v>35</v>
      </c>
      <c r="H12" s="4"/>
      <c r="I12" s="4"/>
      <c r="J12" s="4"/>
      <c r="K12" s="4"/>
    </row>
    <row r="14" spans="1:11" ht="55.15">
      <c r="A14" s="4" t="s">
        <v>36</v>
      </c>
      <c r="B14" s="4" t="s">
        <v>37</v>
      </c>
      <c r="C14" s="4" t="s">
        <v>38</v>
      </c>
      <c r="D14" s="4" t="s">
        <v>39</v>
      </c>
      <c r="E14" s="4" t="s">
        <v>40</v>
      </c>
      <c r="F14" s="4" t="s">
        <v>41</v>
      </c>
      <c r="G14" s="4" t="s">
        <v>42</v>
      </c>
      <c r="H14" s="4"/>
      <c r="I14" s="4"/>
      <c r="J14" s="4"/>
      <c r="K14" s="4"/>
    </row>
    <row r="15" spans="1:11" ht="55.15">
      <c r="A15" s="4" t="s">
        <v>43</v>
      </c>
      <c r="B15" s="4" t="s">
        <v>37</v>
      </c>
      <c r="C15" s="4" t="s">
        <v>44</v>
      </c>
      <c r="D15" s="4" t="s">
        <v>45</v>
      </c>
      <c r="E15" s="4" t="s">
        <v>46</v>
      </c>
      <c r="F15" s="4" t="s">
        <v>47</v>
      </c>
      <c r="G15" s="4" t="s">
        <v>48</v>
      </c>
      <c r="H15" s="4"/>
      <c r="I15" s="4"/>
      <c r="J15" s="4"/>
      <c r="K15" s="4"/>
    </row>
    <row r="16" spans="1:11" ht="27.6">
      <c r="A16" s="4" t="s">
        <v>49</v>
      </c>
      <c r="B16" s="4" t="s">
        <v>37</v>
      </c>
      <c r="C16" s="4" t="s">
        <v>50</v>
      </c>
      <c r="D16" s="4" t="s">
        <v>51</v>
      </c>
      <c r="E16" s="4" t="s">
        <v>52</v>
      </c>
      <c r="F16" s="4" t="s">
        <v>41</v>
      </c>
      <c r="G16" s="4" t="s">
        <v>53</v>
      </c>
      <c r="H16" s="4"/>
      <c r="I16" s="4"/>
      <c r="J16" s="4"/>
      <c r="K16" s="4"/>
    </row>
    <row r="17" spans="1:11" ht="27.6">
      <c r="A17" s="4" t="s">
        <v>54</v>
      </c>
      <c r="B17" s="4" t="s">
        <v>37</v>
      </c>
      <c r="C17" s="4" t="s">
        <v>55</v>
      </c>
      <c r="D17" s="4" t="s">
        <v>56</v>
      </c>
      <c r="E17" s="4" t="s">
        <v>57</v>
      </c>
      <c r="F17" s="4" t="s">
        <v>58</v>
      </c>
      <c r="G17" s="4" t="s">
        <v>59</v>
      </c>
      <c r="H17" s="4"/>
      <c r="I17" s="4"/>
      <c r="J17" s="4"/>
      <c r="K17" s="4"/>
    </row>
    <row r="18" spans="1:11" ht="41.45">
      <c r="A18" s="4" t="s">
        <v>60</v>
      </c>
      <c r="B18" s="4" t="s">
        <v>61</v>
      </c>
      <c r="C18" s="4" t="s">
        <v>62</v>
      </c>
      <c r="D18" s="4" t="s">
        <v>63</v>
      </c>
      <c r="E18" s="4" t="s">
        <v>64</v>
      </c>
      <c r="F18" s="4" t="s">
        <v>41</v>
      </c>
      <c r="G18" s="4" t="s">
        <v>65</v>
      </c>
      <c r="H18" s="4"/>
      <c r="I18" s="4"/>
      <c r="J18" s="4"/>
      <c r="K18" s="4"/>
    </row>
    <row r="19" spans="1:11" ht="41.45">
      <c r="A19" s="4" t="s">
        <v>66</v>
      </c>
      <c r="B19" s="4" t="s">
        <v>61</v>
      </c>
      <c r="C19" s="4" t="s">
        <v>67</v>
      </c>
      <c r="D19" s="4" t="s">
        <v>68</v>
      </c>
      <c r="E19" s="4" t="s">
        <v>69</v>
      </c>
      <c r="F19" s="4" t="s">
        <v>70</v>
      </c>
      <c r="G19" s="4" t="s">
        <v>71</v>
      </c>
      <c r="H19" s="4"/>
      <c r="I19" s="4"/>
      <c r="J19" s="4"/>
      <c r="K19" s="4"/>
    </row>
    <row r="20" spans="1:11" ht="41.45">
      <c r="A20" s="4" t="s">
        <v>72</v>
      </c>
      <c r="B20" s="4" t="s">
        <v>61</v>
      </c>
      <c r="C20" s="4" t="s">
        <v>73</v>
      </c>
      <c r="D20" s="4" t="s">
        <v>51</v>
      </c>
      <c r="E20" s="4" t="s">
        <v>74</v>
      </c>
      <c r="F20" s="4" t="s">
        <v>47</v>
      </c>
      <c r="G20" s="4" t="s">
        <v>75</v>
      </c>
      <c r="H20" s="4"/>
      <c r="I20" s="4"/>
      <c r="J20" s="4"/>
      <c r="K20" s="4"/>
    </row>
    <row r="21" spans="1:11" ht="27.6">
      <c r="A21" s="4" t="s">
        <v>76</v>
      </c>
      <c r="B21" s="4" t="s">
        <v>61</v>
      </c>
      <c r="C21" s="4" t="s">
        <v>77</v>
      </c>
      <c r="D21" s="4" t="s">
        <v>51</v>
      </c>
      <c r="E21" s="4" t="s">
        <v>78</v>
      </c>
      <c r="F21" s="4" t="s">
        <v>41</v>
      </c>
      <c r="G21" s="4" t="s">
        <v>79</v>
      </c>
      <c r="H21" s="4"/>
      <c r="I21" s="4"/>
      <c r="J21" s="4"/>
      <c r="K21" s="4"/>
    </row>
    <row r="22" spans="1:11" ht="69">
      <c r="A22" s="4" t="s">
        <v>80</v>
      </c>
      <c r="B22" s="4" t="s">
        <v>81</v>
      </c>
      <c r="C22" s="4" t="s">
        <v>82</v>
      </c>
      <c r="D22" s="4" t="s">
        <v>83</v>
      </c>
      <c r="E22" s="4" t="s">
        <v>84</v>
      </c>
      <c r="F22" s="4" t="s">
        <v>41</v>
      </c>
      <c r="G22" s="4" t="s">
        <v>85</v>
      </c>
      <c r="H22" s="4"/>
      <c r="I22" s="4"/>
      <c r="J22" s="4"/>
      <c r="K22" s="4"/>
    </row>
    <row r="23" spans="1:11" ht="41.45">
      <c r="A23" s="4" t="s">
        <v>86</v>
      </c>
      <c r="B23" s="4" t="s">
        <v>81</v>
      </c>
      <c r="C23" s="4" t="s">
        <v>87</v>
      </c>
      <c r="D23" s="4" t="s">
        <v>88</v>
      </c>
      <c r="E23" s="4" t="s">
        <v>89</v>
      </c>
      <c r="F23" s="4" t="s">
        <v>90</v>
      </c>
      <c r="G23" s="4" t="s">
        <v>91</v>
      </c>
      <c r="H23" s="4"/>
      <c r="I23" s="4"/>
      <c r="J23" s="4"/>
      <c r="K23" s="4"/>
    </row>
    <row r="24" spans="1:11" ht="27.6">
      <c r="A24" s="4" t="s">
        <v>92</v>
      </c>
      <c r="B24" s="4" t="s">
        <v>81</v>
      </c>
      <c r="C24" s="4" t="s">
        <v>93</v>
      </c>
      <c r="D24" s="4" t="s">
        <v>51</v>
      </c>
      <c r="E24" s="4" t="s">
        <v>94</v>
      </c>
      <c r="F24" s="4" t="s">
        <v>47</v>
      </c>
      <c r="G24" s="4" t="s">
        <v>95</v>
      </c>
      <c r="H24" s="4"/>
      <c r="I24" s="4"/>
      <c r="J24" s="4"/>
      <c r="K24" s="4"/>
    </row>
    <row r="25" spans="1:11" ht="55.15">
      <c r="A25" s="4" t="s">
        <v>96</v>
      </c>
      <c r="B25" s="4" t="s">
        <v>97</v>
      </c>
      <c r="C25" s="4" t="s">
        <v>98</v>
      </c>
      <c r="D25" s="4" t="s">
        <v>51</v>
      </c>
      <c r="E25" s="4" t="s">
        <v>99</v>
      </c>
      <c r="F25" s="4" t="s">
        <v>41</v>
      </c>
      <c r="G25" s="4" t="s">
        <v>100</v>
      </c>
      <c r="H25" s="4"/>
      <c r="I25" s="4"/>
      <c r="J25" s="4"/>
      <c r="K25" s="4"/>
    </row>
    <row r="26" spans="1:11" ht="41.45">
      <c r="A26" s="4" t="s">
        <v>101</v>
      </c>
      <c r="B26" s="4" t="s">
        <v>97</v>
      </c>
      <c r="C26" s="4" t="s">
        <v>102</v>
      </c>
      <c r="D26" s="4" t="s">
        <v>103</v>
      </c>
      <c r="E26" s="4" t="s">
        <v>104</v>
      </c>
      <c r="F26" s="4" t="s">
        <v>105</v>
      </c>
      <c r="G26" s="4" t="s">
        <v>106</v>
      </c>
      <c r="H26" s="4"/>
      <c r="I26" s="4"/>
      <c r="J26" s="4"/>
      <c r="K26" s="4"/>
    </row>
    <row r="27" spans="1:11" ht="41.45">
      <c r="A27" s="4" t="s">
        <v>107</v>
      </c>
      <c r="B27" s="4" t="s">
        <v>97</v>
      </c>
      <c r="C27" s="4" t="s">
        <v>108</v>
      </c>
      <c r="D27" s="4" t="s">
        <v>109</v>
      </c>
      <c r="E27" s="4" t="s">
        <v>110</v>
      </c>
      <c r="F27" s="4" t="s">
        <v>111</v>
      </c>
      <c r="G27" s="4" t="s">
        <v>112</v>
      </c>
      <c r="H27" s="4"/>
      <c r="I27" s="4"/>
      <c r="J27" s="4"/>
      <c r="K27" s="4"/>
    </row>
    <row r="28" spans="1:11" ht="27.6">
      <c r="A28" s="4" t="s">
        <v>113</v>
      </c>
      <c r="B28" s="4" t="s">
        <v>97</v>
      </c>
      <c r="C28" s="4" t="s">
        <v>114</v>
      </c>
      <c r="D28" s="4" t="s">
        <v>51</v>
      </c>
      <c r="E28" s="4" t="s">
        <v>115</v>
      </c>
      <c r="F28" s="4" t="s">
        <v>47</v>
      </c>
      <c r="G28" s="4" t="s">
        <v>116</v>
      </c>
      <c r="H28" s="4"/>
      <c r="I28" s="4"/>
      <c r="J28" s="4"/>
      <c r="K28" s="4"/>
    </row>
    <row r="29" spans="1:11" ht="41.45">
      <c r="A29" s="4" t="s">
        <v>117</v>
      </c>
      <c r="B29" s="4" t="s">
        <v>118</v>
      </c>
      <c r="C29" s="4" t="s">
        <v>119</v>
      </c>
      <c r="D29" s="4" t="s">
        <v>51</v>
      </c>
      <c r="E29" s="4" t="s">
        <v>120</v>
      </c>
      <c r="F29" s="4" t="s">
        <v>41</v>
      </c>
      <c r="G29" s="4" t="s">
        <v>121</v>
      </c>
      <c r="H29" s="4"/>
      <c r="I29" s="4"/>
      <c r="J29" s="4"/>
      <c r="K29" s="4"/>
    </row>
    <row r="30" spans="1:11" ht="27.6">
      <c r="A30" s="4" t="s">
        <v>122</v>
      </c>
      <c r="B30" s="4" t="s">
        <v>118</v>
      </c>
      <c r="C30" s="4" t="s">
        <v>123</v>
      </c>
      <c r="D30" s="4" t="s">
        <v>124</v>
      </c>
      <c r="E30" s="4" t="s">
        <v>125</v>
      </c>
      <c r="F30" s="4" t="s">
        <v>126</v>
      </c>
      <c r="G30" s="4" t="s">
        <v>127</v>
      </c>
      <c r="H30" s="4"/>
      <c r="I30" s="4"/>
      <c r="J30" s="4"/>
      <c r="K30" s="4"/>
    </row>
    <row r="31" spans="1:11" ht="41.45">
      <c r="A31" s="4" t="s">
        <v>128</v>
      </c>
      <c r="B31" s="4" t="s">
        <v>118</v>
      </c>
      <c r="C31" s="4" t="s">
        <v>129</v>
      </c>
      <c r="D31" s="4" t="s">
        <v>51</v>
      </c>
      <c r="E31" s="4" t="s">
        <v>130</v>
      </c>
      <c r="F31" s="4" t="s">
        <v>47</v>
      </c>
      <c r="G31" s="4" t="s">
        <v>131</v>
      </c>
      <c r="H31" s="4"/>
      <c r="I31" s="4"/>
      <c r="J31" s="4"/>
      <c r="K31" s="4"/>
    </row>
    <row r="32" spans="1:11" ht="41.45">
      <c r="A32" s="4" t="s">
        <v>132</v>
      </c>
      <c r="B32" s="4" t="s">
        <v>118</v>
      </c>
      <c r="C32" s="4" t="s">
        <v>133</v>
      </c>
      <c r="D32" s="4" t="s">
        <v>51</v>
      </c>
      <c r="E32" s="4" t="s">
        <v>134</v>
      </c>
      <c r="F32" s="4" t="s">
        <v>41</v>
      </c>
      <c r="G32" s="4" t="s">
        <v>135</v>
      </c>
      <c r="H32" s="4"/>
      <c r="I32" s="4"/>
      <c r="J32" s="4"/>
      <c r="K32" s="4"/>
    </row>
    <row r="34" spans="1:11" ht="55.15">
      <c r="A34" s="4" t="s">
        <v>136</v>
      </c>
      <c r="B34" s="4" t="s">
        <v>137</v>
      </c>
      <c r="C34" s="4" t="s">
        <v>138</v>
      </c>
      <c r="D34" s="4" t="s">
        <v>139</v>
      </c>
      <c r="E34" s="4" t="s">
        <v>140</v>
      </c>
      <c r="F34" s="4" t="s">
        <v>141</v>
      </c>
      <c r="G34" s="4" t="s">
        <v>142</v>
      </c>
      <c r="H34" s="4"/>
      <c r="I34" s="4"/>
      <c r="J34" s="4"/>
      <c r="K34" s="4"/>
    </row>
    <row r="35" spans="1:11" ht="55.15">
      <c r="A35" s="4" t="s">
        <v>143</v>
      </c>
      <c r="B35" s="4" t="s">
        <v>137</v>
      </c>
      <c r="C35" s="4" t="s">
        <v>144</v>
      </c>
      <c r="D35" s="4" t="s">
        <v>139</v>
      </c>
      <c r="E35" s="4" t="s">
        <v>145</v>
      </c>
      <c r="F35" s="4" t="s">
        <v>141</v>
      </c>
      <c r="G35" s="4" t="s">
        <v>146</v>
      </c>
      <c r="H35" s="4"/>
      <c r="I35" s="4"/>
      <c r="J35" s="4"/>
      <c r="K35" s="4"/>
    </row>
    <row r="36" spans="1:11" ht="41.45">
      <c r="A36" s="4" t="s">
        <v>147</v>
      </c>
      <c r="B36" s="4" t="s">
        <v>137</v>
      </c>
      <c r="C36" s="4" t="s">
        <v>148</v>
      </c>
      <c r="D36" s="4" t="s">
        <v>149</v>
      </c>
      <c r="E36" s="4" t="s">
        <v>150</v>
      </c>
      <c r="F36" s="4" t="s">
        <v>151</v>
      </c>
      <c r="G36" s="4" t="s">
        <v>152</v>
      </c>
      <c r="H36" s="4"/>
      <c r="I36" s="4"/>
      <c r="J36" s="4"/>
      <c r="K36" s="4"/>
    </row>
    <row r="37" spans="1:11" ht="41.45">
      <c r="A37" s="4" t="s">
        <v>153</v>
      </c>
      <c r="B37" s="4" t="s">
        <v>137</v>
      </c>
      <c r="C37" s="4" t="s">
        <v>154</v>
      </c>
      <c r="D37" s="4" t="s">
        <v>139</v>
      </c>
      <c r="E37" s="4" t="s">
        <v>155</v>
      </c>
      <c r="F37" s="4" t="s">
        <v>47</v>
      </c>
      <c r="G37" s="4" t="s">
        <v>156</v>
      </c>
      <c r="H37" s="4"/>
      <c r="I37" s="4"/>
      <c r="J37" s="4"/>
      <c r="K37" s="4"/>
    </row>
    <row r="38" spans="1:11" ht="27.6">
      <c r="A38" s="4" t="s">
        <v>157</v>
      </c>
      <c r="B38" s="4" t="s">
        <v>137</v>
      </c>
      <c r="C38" s="4" t="s">
        <v>158</v>
      </c>
      <c r="D38" s="4" t="s">
        <v>139</v>
      </c>
      <c r="E38" s="4" t="s">
        <v>159</v>
      </c>
      <c r="F38" s="4" t="s">
        <v>141</v>
      </c>
      <c r="G38" s="4" t="s">
        <v>160</v>
      </c>
      <c r="H38" s="4"/>
      <c r="I38" s="4"/>
      <c r="J38" s="4"/>
      <c r="K38" s="4"/>
    </row>
    <row r="39" spans="1:11" ht="27.6">
      <c r="A39" s="4" t="s">
        <v>161</v>
      </c>
      <c r="B39" s="4" t="s">
        <v>137</v>
      </c>
      <c r="C39" s="4" t="s">
        <v>162</v>
      </c>
      <c r="D39" s="4" t="s">
        <v>26</v>
      </c>
      <c r="E39" s="4" t="s">
        <v>163</v>
      </c>
      <c r="F39" s="4" t="s">
        <v>28</v>
      </c>
      <c r="G39" s="4" t="s">
        <v>164</v>
      </c>
      <c r="H39" s="4"/>
      <c r="I39" s="4"/>
      <c r="J39" s="4"/>
      <c r="K39" s="4"/>
    </row>
    <row r="41" spans="1:11" ht="41.45">
      <c r="A41" s="4" t="s">
        <v>165</v>
      </c>
      <c r="B41" s="4" t="s">
        <v>166</v>
      </c>
      <c r="C41" s="4" t="s">
        <v>167</v>
      </c>
      <c r="D41" s="4" t="s">
        <v>168</v>
      </c>
      <c r="E41" s="4" t="s">
        <v>169</v>
      </c>
      <c r="F41" s="4" t="s">
        <v>170</v>
      </c>
      <c r="G41" s="4" t="s">
        <v>171</v>
      </c>
      <c r="H41" s="4"/>
      <c r="I41" s="4"/>
      <c r="J41" s="4"/>
      <c r="K41" s="4"/>
    </row>
    <row r="42" spans="1:11" ht="41.45">
      <c r="A42" s="4" t="s">
        <v>172</v>
      </c>
      <c r="B42" s="4" t="s">
        <v>166</v>
      </c>
      <c r="C42" s="4" t="s">
        <v>173</v>
      </c>
      <c r="D42" s="4" t="s">
        <v>174</v>
      </c>
      <c r="E42" s="4" t="s">
        <v>169</v>
      </c>
      <c r="F42" s="4" t="s">
        <v>175</v>
      </c>
      <c r="G42" s="4" t="s">
        <v>176</v>
      </c>
      <c r="H42" s="4"/>
      <c r="I42" s="4"/>
      <c r="J42" s="4"/>
      <c r="K42" s="4"/>
    </row>
    <row r="43" spans="1:11" ht="41.45">
      <c r="A43" s="4" t="s">
        <v>177</v>
      </c>
      <c r="B43" s="4" t="s">
        <v>166</v>
      </c>
      <c r="C43" s="4" t="s">
        <v>178</v>
      </c>
      <c r="D43" s="4" t="s">
        <v>179</v>
      </c>
      <c r="E43" s="4" t="s">
        <v>169</v>
      </c>
      <c r="F43" s="4" t="s">
        <v>180</v>
      </c>
      <c r="G43" s="4" t="s">
        <v>181</v>
      </c>
      <c r="H43" s="4"/>
      <c r="I43" s="4"/>
      <c r="J43" s="4"/>
      <c r="K43" s="4"/>
    </row>
    <row r="44" spans="1:11" ht="55.15">
      <c r="A44" s="4" t="s">
        <v>182</v>
      </c>
      <c r="B44" s="4" t="s">
        <v>166</v>
      </c>
      <c r="C44" s="4" t="s">
        <v>183</v>
      </c>
      <c r="D44" s="4" t="s">
        <v>184</v>
      </c>
      <c r="E44" s="4" t="s">
        <v>169</v>
      </c>
      <c r="F44" s="4" t="s">
        <v>185</v>
      </c>
      <c r="G44" s="4" t="s">
        <v>186</v>
      </c>
      <c r="H44" s="4"/>
      <c r="I44" s="4"/>
      <c r="J44" s="4"/>
      <c r="K44" s="4"/>
    </row>
    <row r="46" spans="1:11" ht="41.45">
      <c r="A46" s="4" t="s">
        <v>187</v>
      </c>
      <c r="B46" s="4" t="s">
        <v>188</v>
      </c>
      <c r="C46" s="4" t="s">
        <v>189</v>
      </c>
      <c r="D46" s="4" t="s">
        <v>190</v>
      </c>
      <c r="E46" s="4" t="s">
        <v>169</v>
      </c>
      <c r="F46" s="4" t="s">
        <v>191</v>
      </c>
      <c r="G46" s="4" t="s">
        <v>192</v>
      </c>
      <c r="H46" s="4"/>
      <c r="I46" s="4"/>
      <c r="J46" s="4"/>
      <c r="K46" s="4"/>
    </row>
    <row r="47" spans="1:11" ht="55.15">
      <c r="A47" s="4" t="s">
        <v>193</v>
      </c>
      <c r="B47" s="4" t="s">
        <v>188</v>
      </c>
      <c r="C47" s="4" t="s">
        <v>194</v>
      </c>
      <c r="D47" s="4" t="s">
        <v>195</v>
      </c>
      <c r="E47" s="4" t="s">
        <v>169</v>
      </c>
      <c r="F47" s="4" t="s">
        <v>196</v>
      </c>
      <c r="G47" s="4" t="s">
        <v>197</v>
      </c>
      <c r="H47" s="4"/>
      <c r="I47" s="4"/>
      <c r="J47" s="4"/>
      <c r="K47" s="4"/>
    </row>
    <row r="48" spans="1:11" ht="55.15">
      <c r="A48" s="4" t="s">
        <v>198</v>
      </c>
      <c r="B48" s="4" t="s">
        <v>188</v>
      </c>
      <c r="C48" s="4" t="s">
        <v>199</v>
      </c>
      <c r="D48" s="4" t="s">
        <v>200</v>
      </c>
      <c r="E48" s="4" t="s">
        <v>169</v>
      </c>
      <c r="F48" s="4" t="s">
        <v>201</v>
      </c>
      <c r="G48" s="4" t="s">
        <v>202</v>
      </c>
      <c r="H48" s="4"/>
      <c r="I48" s="4"/>
      <c r="J48" s="4"/>
      <c r="K48" s="4"/>
    </row>
    <row r="49" spans="1:11" ht="41.45">
      <c r="A49" s="4" t="s">
        <v>203</v>
      </c>
      <c r="B49" s="4" t="s">
        <v>204</v>
      </c>
      <c r="C49" s="4" t="s">
        <v>205</v>
      </c>
      <c r="D49" s="4" t="s">
        <v>206</v>
      </c>
      <c r="E49" s="4" t="s">
        <v>207</v>
      </c>
      <c r="F49" s="4" t="s">
        <v>141</v>
      </c>
      <c r="G49" s="4" t="s">
        <v>208</v>
      </c>
      <c r="H49" s="4"/>
      <c r="I49" s="4"/>
      <c r="J49" s="4"/>
      <c r="K49" s="4"/>
    </row>
    <row r="50" spans="1:11" ht="41.45">
      <c r="A50" s="4" t="s">
        <v>209</v>
      </c>
      <c r="B50" s="4" t="s">
        <v>204</v>
      </c>
      <c r="C50" s="4" t="s">
        <v>210</v>
      </c>
      <c r="D50" s="4" t="s">
        <v>211</v>
      </c>
      <c r="E50" s="4" t="s">
        <v>212</v>
      </c>
      <c r="F50" s="4" t="s">
        <v>213</v>
      </c>
      <c r="G50" s="4" t="s">
        <v>214</v>
      </c>
      <c r="H50" s="4"/>
      <c r="I50" s="4"/>
      <c r="J50" s="4"/>
      <c r="K50" s="4"/>
    </row>
    <row r="51" spans="1:11" ht="55.15">
      <c r="A51" s="4" t="s">
        <v>215</v>
      </c>
      <c r="B51" s="4" t="s">
        <v>204</v>
      </c>
      <c r="C51" s="4" t="s">
        <v>216</v>
      </c>
      <c r="D51" s="4" t="s">
        <v>206</v>
      </c>
      <c r="E51" s="4" t="s">
        <v>217</v>
      </c>
      <c r="F51" s="4" t="s">
        <v>218</v>
      </c>
      <c r="G51" s="4" t="s">
        <v>219</v>
      </c>
      <c r="H51" s="4"/>
      <c r="I51" s="4"/>
      <c r="J51" s="4"/>
      <c r="K51" s="4"/>
    </row>
    <row r="52" spans="1:11" ht="41.45">
      <c r="A52" s="4" t="s">
        <v>220</v>
      </c>
      <c r="B52" s="4" t="s">
        <v>204</v>
      </c>
      <c r="C52" s="4" t="s">
        <v>221</v>
      </c>
      <c r="D52" s="4" t="s">
        <v>222</v>
      </c>
      <c r="E52" s="4" t="s">
        <v>223</v>
      </c>
      <c r="F52" s="4" t="s">
        <v>47</v>
      </c>
      <c r="G52" s="4" t="s">
        <v>224</v>
      </c>
      <c r="H52" s="4"/>
      <c r="I52" s="4"/>
      <c r="J52" s="4"/>
      <c r="K52" s="4"/>
    </row>
    <row r="53" spans="1:11" ht="27.6">
      <c r="A53" s="4" t="s">
        <v>225</v>
      </c>
      <c r="B53" s="4" t="s">
        <v>204</v>
      </c>
      <c r="C53" s="4" t="s">
        <v>226</v>
      </c>
      <c r="D53" s="4" t="s">
        <v>206</v>
      </c>
      <c r="E53" s="4" t="s">
        <v>227</v>
      </c>
      <c r="F53" s="4" t="s">
        <v>228</v>
      </c>
      <c r="G53" s="4" t="s">
        <v>229</v>
      </c>
      <c r="H53" s="4"/>
      <c r="I53" s="4"/>
      <c r="J53" s="4"/>
      <c r="K53" s="4"/>
    </row>
    <row r="54" spans="1:11" ht="55.15">
      <c r="A54" s="4" t="s">
        <v>230</v>
      </c>
      <c r="B54" s="4" t="s">
        <v>204</v>
      </c>
      <c r="C54" s="4" t="s">
        <v>231</v>
      </c>
      <c r="D54" s="4" t="s">
        <v>232</v>
      </c>
      <c r="E54" s="4" t="s">
        <v>233</v>
      </c>
      <c r="F54" s="4" t="s">
        <v>234</v>
      </c>
      <c r="G54" s="4" t="s">
        <v>235</v>
      </c>
      <c r="H54" s="4"/>
      <c r="I54" s="4"/>
      <c r="J54" s="4"/>
      <c r="K54" s="4"/>
    </row>
    <row r="56" spans="1:11" ht="41.45">
      <c r="A56" s="4" t="s">
        <v>236</v>
      </c>
      <c r="B56" s="4" t="s">
        <v>237</v>
      </c>
      <c r="C56" s="4" t="s">
        <v>238</v>
      </c>
      <c r="D56" s="4" t="s">
        <v>239</v>
      </c>
      <c r="E56" s="4" t="s">
        <v>240</v>
      </c>
      <c r="F56" s="4" t="s">
        <v>241</v>
      </c>
      <c r="G56" s="4" t="s">
        <v>242</v>
      </c>
      <c r="H56" s="4"/>
      <c r="I56" s="4"/>
      <c r="J56" s="4"/>
      <c r="K56" s="4"/>
    </row>
    <row r="57" spans="1:11" ht="41.45">
      <c r="A57" s="4" t="s">
        <v>243</v>
      </c>
      <c r="B57" s="4" t="s">
        <v>237</v>
      </c>
      <c r="C57" s="4" t="s">
        <v>244</v>
      </c>
      <c r="D57" s="4" t="s">
        <v>245</v>
      </c>
      <c r="E57" s="4" t="s">
        <v>246</v>
      </c>
      <c r="F57" s="4" t="s">
        <v>247</v>
      </c>
      <c r="G57" s="4" t="s">
        <v>248</v>
      </c>
      <c r="H57" s="4"/>
      <c r="I57" s="4"/>
      <c r="J57" s="4"/>
      <c r="K57" s="4"/>
    </row>
    <row r="58" spans="1:11" ht="69">
      <c r="A58" s="4" t="s">
        <v>249</v>
      </c>
      <c r="B58" s="4" t="s">
        <v>250</v>
      </c>
      <c r="C58" s="4" t="s">
        <v>251</v>
      </c>
      <c r="D58" s="4" t="s">
        <v>252</v>
      </c>
      <c r="E58" s="4" t="s">
        <v>253</v>
      </c>
      <c r="F58" s="4" t="s">
        <v>254</v>
      </c>
      <c r="G58" s="4" t="s">
        <v>255</v>
      </c>
      <c r="H58" s="4"/>
      <c r="I58" s="4"/>
      <c r="J58" s="4"/>
      <c r="K58" s="4"/>
    </row>
    <row r="59" spans="1:11" ht="41.45">
      <c r="A59" s="4" t="s">
        <v>256</v>
      </c>
      <c r="B59" s="4" t="s">
        <v>250</v>
      </c>
      <c r="C59" s="4" t="s">
        <v>257</v>
      </c>
      <c r="D59" s="4" t="s">
        <v>258</v>
      </c>
      <c r="E59" s="4" t="s">
        <v>259</v>
      </c>
      <c r="F59" s="4" t="s">
        <v>260</v>
      </c>
      <c r="G59" s="4" t="s">
        <v>261</v>
      </c>
      <c r="H59" s="4"/>
      <c r="I59" s="4"/>
      <c r="J59" s="4"/>
      <c r="K59" s="4"/>
    </row>
    <row r="60" spans="1:11" ht="55.15">
      <c r="A60" s="4" t="s">
        <v>262</v>
      </c>
      <c r="B60" s="4" t="s">
        <v>250</v>
      </c>
      <c r="C60" s="4" t="s">
        <v>263</v>
      </c>
      <c r="D60" s="4" t="s">
        <v>264</v>
      </c>
      <c r="E60" s="4" t="s">
        <v>265</v>
      </c>
      <c r="F60" s="4" t="s">
        <v>185</v>
      </c>
      <c r="G60" s="4" t="s">
        <v>266</v>
      </c>
      <c r="H60" s="4"/>
      <c r="I60" s="4"/>
      <c r="J60" s="4"/>
      <c r="K60" s="4"/>
    </row>
    <row r="61" spans="1:11" ht="55.15">
      <c r="A61" s="4" t="s">
        <v>267</v>
      </c>
      <c r="B61" s="4" t="s">
        <v>250</v>
      </c>
      <c r="C61" s="4" t="s">
        <v>268</v>
      </c>
      <c r="D61" s="4" t="s">
        <v>269</v>
      </c>
      <c r="E61" s="4" t="s">
        <v>270</v>
      </c>
      <c r="F61" s="4" t="s">
        <v>271</v>
      </c>
      <c r="G61" s="4" t="s">
        <v>272</v>
      </c>
      <c r="H61" s="4"/>
      <c r="I61" s="4"/>
      <c r="J61" s="4"/>
      <c r="K61" s="4"/>
    </row>
    <row r="63" spans="1:11" ht="41.45">
      <c r="A63" s="4" t="s">
        <v>273</v>
      </c>
      <c r="B63" s="4" t="s">
        <v>274</v>
      </c>
      <c r="C63" s="4" t="s">
        <v>275</v>
      </c>
      <c r="D63" s="4" t="s">
        <v>276</v>
      </c>
      <c r="E63" s="4" t="s">
        <v>277</v>
      </c>
      <c r="F63" s="4" t="s">
        <v>278</v>
      </c>
      <c r="G63" s="4" t="s">
        <v>279</v>
      </c>
      <c r="H63" s="4"/>
      <c r="I63" s="4"/>
      <c r="J63" s="4"/>
      <c r="K63" s="4"/>
    </row>
    <row r="64" spans="1:11" ht="41.45">
      <c r="A64" s="4" t="s">
        <v>280</v>
      </c>
      <c r="B64" s="4" t="s">
        <v>274</v>
      </c>
      <c r="C64" s="4" t="s">
        <v>281</v>
      </c>
      <c r="D64" s="4" t="s">
        <v>282</v>
      </c>
      <c r="E64" s="4" t="s">
        <v>283</v>
      </c>
      <c r="F64" s="4" t="s">
        <v>284</v>
      </c>
      <c r="G64" s="4" t="s">
        <v>285</v>
      </c>
      <c r="H64" s="4"/>
      <c r="I64" s="4"/>
      <c r="J64" s="4"/>
      <c r="K64" s="4"/>
    </row>
    <row r="65" spans="1:11" ht="41.45">
      <c r="A65" s="4" t="s">
        <v>286</v>
      </c>
      <c r="B65" s="4" t="s">
        <v>274</v>
      </c>
      <c r="C65" s="4" t="s">
        <v>287</v>
      </c>
      <c r="D65" s="4" t="s">
        <v>288</v>
      </c>
      <c r="E65" s="4" t="s">
        <v>289</v>
      </c>
      <c r="F65" s="4" t="s">
        <v>290</v>
      </c>
      <c r="G65" s="4" t="s">
        <v>291</v>
      </c>
      <c r="H65" s="4"/>
      <c r="I65" s="4"/>
      <c r="J65" s="4"/>
      <c r="K65" s="4"/>
    </row>
    <row r="66" spans="1:11" ht="27.6">
      <c r="A66" s="4" t="s">
        <v>292</v>
      </c>
      <c r="B66" s="4" t="s">
        <v>274</v>
      </c>
      <c r="C66" s="4" t="s">
        <v>293</v>
      </c>
      <c r="D66" s="4" t="s">
        <v>294</v>
      </c>
      <c r="E66" s="4" t="s">
        <v>295</v>
      </c>
      <c r="F66" s="4" t="s">
        <v>296</v>
      </c>
      <c r="G66" s="4" t="s">
        <v>297</v>
      </c>
      <c r="H66" s="4"/>
      <c r="I66" s="4"/>
      <c r="J66" s="4"/>
      <c r="K66" s="4"/>
    </row>
    <row r="68" spans="1:11" ht="41.45">
      <c r="A68" s="4" t="s">
        <v>298</v>
      </c>
      <c r="B68" s="4" t="s">
        <v>299</v>
      </c>
      <c r="C68" s="4" t="s">
        <v>300</v>
      </c>
      <c r="D68" s="4" t="s">
        <v>301</v>
      </c>
      <c r="E68" s="4" t="s">
        <v>302</v>
      </c>
      <c r="F68" s="4" t="s">
        <v>303</v>
      </c>
      <c r="G68" s="4" t="s">
        <v>304</v>
      </c>
      <c r="H68" s="4"/>
      <c r="I68" s="4"/>
      <c r="J68" s="4"/>
      <c r="K68" s="4"/>
    </row>
    <row r="69" spans="1:11" ht="27.6">
      <c r="A69" s="4" t="s">
        <v>305</v>
      </c>
      <c r="B69" s="4" t="s">
        <v>299</v>
      </c>
      <c r="C69" s="4" t="s">
        <v>306</v>
      </c>
      <c r="D69" s="4" t="s">
        <v>307</v>
      </c>
      <c r="E69" s="4" t="s">
        <v>308</v>
      </c>
      <c r="F69" s="4" t="s">
        <v>309</v>
      </c>
      <c r="G69" s="4" t="s">
        <v>310</v>
      </c>
      <c r="H69" s="4"/>
      <c r="I69" s="4"/>
      <c r="J69" s="4"/>
      <c r="K69" s="4"/>
    </row>
    <row r="70" spans="1:11" ht="41.45">
      <c r="A70" s="4" t="s">
        <v>311</v>
      </c>
      <c r="B70" s="4" t="s">
        <v>299</v>
      </c>
      <c r="C70" s="4" t="s">
        <v>312</v>
      </c>
      <c r="D70" s="4" t="s">
        <v>313</v>
      </c>
      <c r="E70" s="4" t="s">
        <v>314</v>
      </c>
      <c r="F70" s="4" t="s">
        <v>315</v>
      </c>
      <c r="G70" s="4" t="s">
        <v>316</v>
      </c>
      <c r="H70" s="4"/>
      <c r="I70" s="4"/>
      <c r="J70" s="4"/>
      <c r="K70" s="4"/>
    </row>
    <row r="71" spans="1:11" ht="55.15">
      <c r="A71" s="4" t="s">
        <v>317</v>
      </c>
      <c r="B71" s="4" t="s">
        <v>299</v>
      </c>
      <c r="C71" s="4" t="s">
        <v>318</v>
      </c>
      <c r="D71" s="4" t="s">
        <v>319</v>
      </c>
      <c r="E71" s="4" t="s">
        <v>320</v>
      </c>
      <c r="F71" s="4" t="s">
        <v>321</v>
      </c>
      <c r="G71" s="4" t="s">
        <v>322</v>
      </c>
      <c r="H71" s="4"/>
      <c r="I71" s="4"/>
      <c r="J71" s="4"/>
      <c r="K71" s="4"/>
    </row>
    <row r="72" spans="1:11" ht="41.45">
      <c r="A72" s="4" t="s">
        <v>323</v>
      </c>
      <c r="B72" s="4" t="s">
        <v>299</v>
      </c>
      <c r="C72" s="4" t="s">
        <v>324</v>
      </c>
      <c r="D72" s="4" t="s">
        <v>325</v>
      </c>
      <c r="E72" s="4" t="s">
        <v>240</v>
      </c>
      <c r="F72" s="4" t="s">
        <v>326</v>
      </c>
      <c r="G72" s="4" t="s">
        <v>327</v>
      </c>
      <c r="H72" s="4"/>
      <c r="I72" s="4"/>
      <c r="J72" s="4"/>
      <c r="K72" s="4"/>
    </row>
    <row r="74" spans="1:11" ht="41.45">
      <c r="A74" s="4" t="s">
        <v>298</v>
      </c>
      <c r="B74" s="4" t="s">
        <v>299</v>
      </c>
      <c r="C74" s="4" t="s">
        <v>300</v>
      </c>
      <c r="D74" s="4" t="s">
        <v>301</v>
      </c>
      <c r="E74" s="4" t="s">
        <v>302</v>
      </c>
      <c r="F74" s="4" t="s">
        <v>303</v>
      </c>
      <c r="G74" s="4" t="s">
        <v>304</v>
      </c>
      <c r="H74" s="4"/>
      <c r="I74" s="4"/>
      <c r="J74" s="4"/>
      <c r="K74" s="4"/>
    </row>
    <row r="75" spans="1:11" ht="27.6">
      <c r="A75" s="4" t="s">
        <v>305</v>
      </c>
      <c r="B75" s="4" t="s">
        <v>299</v>
      </c>
      <c r="C75" s="4" t="s">
        <v>306</v>
      </c>
      <c r="D75" s="4" t="s">
        <v>307</v>
      </c>
      <c r="E75" s="4" t="s">
        <v>308</v>
      </c>
      <c r="F75" s="4" t="s">
        <v>309</v>
      </c>
      <c r="G75" s="4" t="s">
        <v>310</v>
      </c>
      <c r="H75" s="4"/>
      <c r="I75" s="4"/>
      <c r="J75" s="4"/>
      <c r="K75" s="4"/>
    </row>
    <row r="76" spans="1:11" ht="41.45">
      <c r="A76" s="4" t="s">
        <v>311</v>
      </c>
      <c r="B76" s="4" t="s">
        <v>299</v>
      </c>
      <c r="C76" s="4" t="s">
        <v>312</v>
      </c>
      <c r="D76" s="4" t="s">
        <v>313</v>
      </c>
      <c r="E76" s="4" t="s">
        <v>314</v>
      </c>
      <c r="F76" s="4" t="s">
        <v>315</v>
      </c>
      <c r="G76" s="4" t="s">
        <v>316</v>
      </c>
      <c r="H76" s="4"/>
      <c r="I76" s="4"/>
      <c r="J76" s="4"/>
      <c r="K76" s="4"/>
    </row>
    <row r="77" spans="1:11" ht="55.15">
      <c r="A77" s="4" t="s">
        <v>317</v>
      </c>
      <c r="B77" s="4" t="s">
        <v>299</v>
      </c>
      <c r="C77" s="4" t="s">
        <v>318</v>
      </c>
      <c r="D77" s="4" t="s">
        <v>319</v>
      </c>
      <c r="E77" s="4" t="s">
        <v>320</v>
      </c>
      <c r="F77" s="4" t="s">
        <v>321</v>
      </c>
      <c r="G77" s="4" t="s">
        <v>322</v>
      </c>
      <c r="H77" s="4"/>
      <c r="I77" s="4"/>
      <c r="J77" s="4"/>
      <c r="K77" s="4"/>
    </row>
    <row r="78" spans="1:11" ht="41.45">
      <c r="A78" s="4" t="s">
        <v>323</v>
      </c>
      <c r="B78" s="4" t="s">
        <v>299</v>
      </c>
      <c r="C78" s="4" t="s">
        <v>324</v>
      </c>
      <c r="D78" s="4" t="s">
        <v>325</v>
      </c>
      <c r="E78" s="4" t="s">
        <v>240</v>
      </c>
      <c r="F78" s="4" t="s">
        <v>326</v>
      </c>
      <c r="G78" s="4" t="s">
        <v>327</v>
      </c>
      <c r="H78" s="4"/>
      <c r="I78" s="4"/>
      <c r="J78" s="4"/>
      <c r="K78" s="4"/>
    </row>
    <row r="80" spans="1:11" ht="41.45">
      <c r="A80" s="4" t="s">
        <v>328</v>
      </c>
      <c r="B80" s="4" t="s">
        <v>329</v>
      </c>
      <c r="C80" s="4" t="s">
        <v>330</v>
      </c>
      <c r="D80" s="4" t="s">
        <v>331</v>
      </c>
      <c r="E80" s="4" t="s">
        <v>332</v>
      </c>
      <c r="F80" s="4" t="s">
        <v>333</v>
      </c>
      <c r="G80" s="4" t="s">
        <v>334</v>
      </c>
      <c r="H80" s="4"/>
      <c r="I80" s="4"/>
      <c r="J80" s="4"/>
      <c r="K80" s="4"/>
    </row>
    <row r="81" spans="1:11" ht="41.45">
      <c r="A81" s="4" t="s">
        <v>335</v>
      </c>
      <c r="B81" s="4" t="s">
        <v>336</v>
      </c>
      <c r="C81" s="4" t="s">
        <v>337</v>
      </c>
      <c r="D81" s="4" t="s">
        <v>338</v>
      </c>
      <c r="E81" s="4" t="s">
        <v>339</v>
      </c>
      <c r="F81" s="4" t="s">
        <v>340</v>
      </c>
      <c r="G81" s="4" t="s">
        <v>341</v>
      </c>
      <c r="H81" s="4"/>
      <c r="I81" s="4"/>
      <c r="J81" s="4"/>
      <c r="K81" s="4"/>
    </row>
    <row r="82" spans="1:11" ht="41.45">
      <c r="A82" s="4" t="s">
        <v>342</v>
      </c>
      <c r="B82" s="4" t="s">
        <v>343</v>
      </c>
      <c r="C82" s="4" t="s">
        <v>344</v>
      </c>
      <c r="D82" s="4" t="s">
        <v>345</v>
      </c>
      <c r="E82" s="4" t="s">
        <v>346</v>
      </c>
      <c r="F82" s="4" t="s">
        <v>347</v>
      </c>
      <c r="G82" s="4" t="s">
        <v>348</v>
      </c>
      <c r="H82" s="4"/>
      <c r="I82" s="4"/>
      <c r="J82" s="4"/>
      <c r="K82" s="4"/>
    </row>
    <row r="83" spans="1:11" ht="55.15">
      <c r="A83" s="4" t="s">
        <v>349</v>
      </c>
      <c r="B83" s="4" t="s">
        <v>343</v>
      </c>
      <c r="C83" s="4" t="s">
        <v>350</v>
      </c>
      <c r="D83" s="4" t="s">
        <v>351</v>
      </c>
      <c r="E83" s="4" t="s">
        <v>352</v>
      </c>
      <c r="F83" s="4" t="s">
        <v>353</v>
      </c>
      <c r="G83" s="4" t="s">
        <v>354</v>
      </c>
      <c r="H83" s="4"/>
      <c r="I83" s="4"/>
      <c r="J83" s="4"/>
      <c r="K83" s="4"/>
    </row>
    <row r="85" spans="1:11" ht="41.45">
      <c r="A85" s="4" t="s">
        <v>355</v>
      </c>
      <c r="B85" s="4" t="s">
        <v>356</v>
      </c>
      <c r="C85" s="4" t="s">
        <v>357</v>
      </c>
      <c r="D85" s="4" t="s">
        <v>358</v>
      </c>
      <c r="E85" s="4" t="s">
        <v>359</v>
      </c>
      <c r="F85" s="4" t="s">
        <v>360</v>
      </c>
      <c r="G85" s="4" t="s">
        <v>361</v>
      </c>
      <c r="H85" s="4"/>
      <c r="I85" s="4"/>
      <c r="J85" s="4"/>
      <c r="K85" s="4"/>
    </row>
    <row r="86" spans="1:11" ht="27.6">
      <c r="A86" s="4" t="s">
        <v>362</v>
      </c>
      <c r="B86" s="4" t="s">
        <v>356</v>
      </c>
      <c r="C86" s="4" t="s">
        <v>363</v>
      </c>
      <c r="D86" s="4" t="s">
        <v>364</v>
      </c>
      <c r="E86" s="4" t="s">
        <v>365</v>
      </c>
      <c r="F86" s="4" t="s">
        <v>366</v>
      </c>
      <c r="G86" s="4" t="s">
        <v>367</v>
      </c>
      <c r="H86" s="4"/>
      <c r="I86" s="4"/>
      <c r="J86" s="4"/>
      <c r="K86" s="4"/>
    </row>
    <row r="87" spans="1:11" ht="55.15">
      <c r="A87" s="4" t="s">
        <v>368</v>
      </c>
      <c r="B87" s="4" t="s">
        <v>356</v>
      </c>
      <c r="C87" s="4" t="s">
        <v>369</v>
      </c>
      <c r="D87" s="4" t="s">
        <v>370</v>
      </c>
      <c r="E87" s="4" t="s">
        <v>371</v>
      </c>
      <c r="F87" s="4" t="s">
        <v>372</v>
      </c>
      <c r="G87" s="4" t="s">
        <v>373</v>
      </c>
      <c r="H87" s="4"/>
      <c r="I87" s="4"/>
      <c r="J87" s="4"/>
      <c r="K87" s="4"/>
    </row>
    <row r="88" spans="1:11" ht="41.45">
      <c r="A88" s="4" t="s">
        <v>374</v>
      </c>
      <c r="B88" s="4" t="s">
        <v>356</v>
      </c>
      <c r="C88" s="4" t="s">
        <v>375</v>
      </c>
      <c r="D88" s="4" t="s">
        <v>376</v>
      </c>
      <c r="E88" s="4" t="s">
        <v>377</v>
      </c>
      <c r="F88" s="4" t="s">
        <v>378</v>
      </c>
      <c r="G88" s="4" t="s">
        <v>379</v>
      </c>
      <c r="H88" s="4"/>
      <c r="I88" s="4"/>
      <c r="J88" s="4"/>
      <c r="K88" s="4"/>
    </row>
    <row r="89" spans="1:11" ht="41.45">
      <c r="A89" s="4" t="s">
        <v>380</v>
      </c>
      <c r="B89" s="4" t="s">
        <v>356</v>
      </c>
      <c r="C89" s="4" t="s">
        <v>381</v>
      </c>
      <c r="D89" s="4" t="s">
        <v>382</v>
      </c>
      <c r="E89" s="4" t="s">
        <v>383</v>
      </c>
      <c r="F89" s="4" t="s">
        <v>384</v>
      </c>
      <c r="G89" s="4" t="s">
        <v>385</v>
      </c>
      <c r="H89" s="4"/>
      <c r="I89" s="4"/>
      <c r="J89" s="4"/>
      <c r="K89" s="4"/>
    </row>
    <row r="91" spans="1:11" ht="41.45">
      <c r="A91" s="4" t="s">
        <v>386</v>
      </c>
      <c r="B91" s="4" t="s">
        <v>387</v>
      </c>
      <c r="C91" s="4" t="s">
        <v>388</v>
      </c>
      <c r="D91" s="4" t="s">
        <v>389</v>
      </c>
      <c r="E91" s="4" t="s">
        <v>390</v>
      </c>
      <c r="F91" s="4" t="s">
        <v>391</v>
      </c>
      <c r="G91" s="4" t="s">
        <v>392</v>
      </c>
      <c r="H91" s="4"/>
      <c r="I91" s="4"/>
      <c r="J91" s="4"/>
      <c r="K91" s="4"/>
    </row>
    <row r="92" spans="1:11" ht="41.45">
      <c r="A92" s="4" t="s">
        <v>393</v>
      </c>
      <c r="B92" s="4" t="s">
        <v>387</v>
      </c>
      <c r="C92" s="4" t="s">
        <v>394</v>
      </c>
      <c r="D92" s="4" t="s">
        <v>395</v>
      </c>
      <c r="E92" s="4" t="s">
        <v>396</v>
      </c>
      <c r="F92" s="4" t="s">
        <v>397</v>
      </c>
      <c r="G92" s="4" t="s">
        <v>398</v>
      </c>
      <c r="H92" s="4"/>
      <c r="I92" s="4"/>
      <c r="J92" s="4"/>
      <c r="K92" s="4"/>
    </row>
    <row r="93" spans="1:11" ht="55.15">
      <c r="A93" s="4" t="s">
        <v>399</v>
      </c>
      <c r="B93" s="4" t="s">
        <v>387</v>
      </c>
      <c r="C93" s="4" t="s">
        <v>400</v>
      </c>
      <c r="D93" s="4" t="s">
        <v>401</v>
      </c>
      <c r="E93" s="4" t="s">
        <v>402</v>
      </c>
      <c r="F93" s="4" t="s">
        <v>403</v>
      </c>
      <c r="G93" s="4" t="s">
        <v>404</v>
      </c>
      <c r="H93" s="4"/>
      <c r="I93" s="4"/>
      <c r="J93" s="4"/>
      <c r="K93" s="4"/>
    </row>
    <row r="94" spans="1:11" ht="55.15">
      <c r="A94" s="4" t="s">
        <v>405</v>
      </c>
      <c r="B94" s="4" t="s">
        <v>387</v>
      </c>
      <c r="C94" s="4" t="s">
        <v>406</v>
      </c>
      <c r="D94" s="4" t="s">
        <v>407</v>
      </c>
      <c r="E94" s="4" t="s">
        <v>408</v>
      </c>
      <c r="F94" s="4" t="s">
        <v>409</v>
      </c>
      <c r="G94" s="4" t="s">
        <v>410</v>
      </c>
      <c r="H94" s="4"/>
      <c r="I94" s="4"/>
      <c r="J94" s="4"/>
      <c r="K94" s="4"/>
    </row>
    <row r="95" spans="1:11" ht="41.45">
      <c r="A95" s="4" t="s">
        <v>411</v>
      </c>
      <c r="B95" s="4" t="s">
        <v>387</v>
      </c>
      <c r="C95" s="4" t="s">
        <v>412</v>
      </c>
      <c r="D95" s="4" t="s">
        <v>413</v>
      </c>
      <c r="E95" s="4" t="s">
        <v>414</v>
      </c>
      <c r="F95" s="4" t="s">
        <v>415</v>
      </c>
      <c r="G95" s="4" t="s">
        <v>416</v>
      </c>
      <c r="H95" s="4"/>
      <c r="I95" s="4"/>
      <c r="J95" s="4"/>
      <c r="K95" s="4"/>
    </row>
    <row r="96" spans="1:11" ht="69">
      <c r="A96" s="4" t="s">
        <v>417</v>
      </c>
      <c r="B96" s="4" t="s">
        <v>418</v>
      </c>
      <c r="C96" s="4" t="s">
        <v>419</v>
      </c>
      <c r="D96" s="4" t="s">
        <v>420</v>
      </c>
      <c r="E96" s="4" t="s">
        <v>421</v>
      </c>
      <c r="F96" s="4" t="s">
        <v>422</v>
      </c>
      <c r="G96" s="4" t="s">
        <v>423</v>
      </c>
      <c r="H96" s="4"/>
      <c r="I96" s="4"/>
      <c r="J96" s="4"/>
      <c r="K96" s="4"/>
    </row>
    <row r="97" spans="1:11" ht="41.45">
      <c r="A97" s="4" t="s">
        <v>424</v>
      </c>
      <c r="B97" s="4" t="s">
        <v>418</v>
      </c>
      <c r="C97" s="4" t="s">
        <v>425</v>
      </c>
      <c r="D97" s="4" t="s">
        <v>426</v>
      </c>
      <c r="E97" s="4" t="s">
        <v>427</v>
      </c>
      <c r="F97" s="4" t="s">
        <v>422</v>
      </c>
      <c r="G97" s="4" t="s">
        <v>428</v>
      </c>
      <c r="H97" s="4"/>
      <c r="I97" s="4"/>
      <c r="J97" s="4"/>
      <c r="K97" s="4"/>
    </row>
    <row r="99" spans="1:11" ht="41.45">
      <c r="A99" s="4" t="s">
        <v>429</v>
      </c>
      <c r="B99" s="4" t="s">
        <v>430</v>
      </c>
      <c r="C99" s="4" t="s">
        <v>431</v>
      </c>
      <c r="D99" s="4" t="s">
        <v>432</v>
      </c>
      <c r="E99" s="4" t="s">
        <v>433</v>
      </c>
      <c r="F99" s="4" t="s">
        <v>434</v>
      </c>
      <c r="G99" s="4" t="s">
        <v>435</v>
      </c>
      <c r="H99" s="4"/>
      <c r="I99" s="4"/>
      <c r="J99" s="4"/>
      <c r="K99" s="4"/>
    </row>
    <row r="100" spans="1:11" ht="27.6">
      <c r="A100" s="4" t="s">
        <v>436</v>
      </c>
      <c r="B100" s="4" t="s">
        <v>430</v>
      </c>
      <c r="C100" s="4" t="s">
        <v>437</v>
      </c>
      <c r="D100" s="4" t="s">
        <v>438</v>
      </c>
      <c r="E100" s="4" t="s">
        <v>439</v>
      </c>
      <c r="F100" s="4" t="s">
        <v>440</v>
      </c>
      <c r="G100" s="4" t="s">
        <v>441</v>
      </c>
      <c r="H100" s="4"/>
      <c r="I100" s="4"/>
      <c r="J100" s="4"/>
      <c r="K100" s="4"/>
    </row>
    <row r="101" spans="1:11" ht="27.6">
      <c r="A101" s="4" t="s">
        <v>442</v>
      </c>
      <c r="B101" s="4" t="s">
        <v>430</v>
      </c>
      <c r="C101" s="4" t="s">
        <v>443</v>
      </c>
      <c r="D101" s="4" t="s">
        <v>444</v>
      </c>
      <c r="E101" s="4" t="s">
        <v>445</v>
      </c>
      <c r="F101" s="4" t="s">
        <v>446</v>
      </c>
      <c r="G101" s="4" t="s">
        <v>447</v>
      </c>
      <c r="H101" s="4"/>
      <c r="I101" s="4"/>
      <c r="J101" s="4"/>
      <c r="K101" s="4"/>
    </row>
    <row r="102" spans="1:11" ht="41.45">
      <c r="A102" s="4" t="s">
        <v>448</v>
      </c>
      <c r="B102" s="4" t="s">
        <v>430</v>
      </c>
      <c r="C102" s="4" t="s">
        <v>449</v>
      </c>
      <c r="D102" s="4" t="s">
        <v>450</v>
      </c>
      <c r="E102" s="4" t="s">
        <v>451</v>
      </c>
      <c r="F102" s="4" t="s">
        <v>452</v>
      </c>
      <c r="G102" s="4" t="s">
        <v>453</v>
      </c>
      <c r="H102" s="4"/>
      <c r="I102" s="4"/>
      <c r="J102" s="4"/>
      <c r="K102" s="4"/>
    </row>
    <row r="104" spans="1:11" ht="41.45">
      <c r="A104" s="4" t="s">
        <v>454</v>
      </c>
      <c r="B104" s="4" t="s">
        <v>455</v>
      </c>
      <c r="C104" s="4" t="s">
        <v>456</v>
      </c>
      <c r="D104" s="4" t="s">
        <v>457</v>
      </c>
      <c r="E104" s="4" t="s">
        <v>458</v>
      </c>
      <c r="F104" s="4" t="s">
        <v>218</v>
      </c>
      <c r="G104" s="4" t="s">
        <v>459</v>
      </c>
      <c r="H104" s="4"/>
      <c r="I104" s="4"/>
      <c r="J104" s="4"/>
      <c r="K104" s="4"/>
    </row>
    <row r="105" spans="1:11" ht="41.45">
      <c r="A105" s="4" t="s">
        <v>460</v>
      </c>
      <c r="B105" s="4" t="s">
        <v>455</v>
      </c>
      <c r="C105" s="4" t="s">
        <v>461</v>
      </c>
      <c r="D105" s="4" t="s">
        <v>462</v>
      </c>
      <c r="E105" s="4" t="s">
        <v>463</v>
      </c>
      <c r="F105" s="4" t="s">
        <v>464</v>
      </c>
      <c r="G105" s="4" t="s">
        <v>465</v>
      </c>
      <c r="H105" s="4"/>
      <c r="I105" s="4"/>
      <c r="J105" s="4"/>
      <c r="K105" s="4"/>
    </row>
    <row r="106" spans="1:11" ht="55.15">
      <c r="A106" s="4" t="s">
        <v>466</v>
      </c>
      <c r="B106" s="4" t="s">
        <v>455</v>
      </c>
      <c r="C106" s="4" t="s">
        <v>467</v>
      </c>
      <c r="D106" s="4" t="s">
        <v>468</v>
      </c>
      <c r="E106" s="4" t="s">
        <v>169</v>
      </c>
      <c r="F106" s="4" t="s">
        <v>469</v>
      </c>
      <c r="G106" s="4" t="s">
        <v>470</v>
      </c>
      <c r="H106" s="4"/>
      <c r="I106" s="4"/>
      <c r="J106" s="4"/>
      <c r="K106" s="4"/>
    </row>
    <row r="107" spans="1:11" ht="41.45">
      <c r="A107" s="4" t="s">
        <v>471</v>
      </c>
      <c r="B107" s="4" t="s">
        <v>455</v>
      </c>
      <c r="C107" s="4" t="s">
        <v>472</v>
      </c>
      <c r="D107" s="4" t="s">
        <v>473</v>
      </c>
      <c r="E107" s="4" t="s">
        <v>474</v>
      </c>
      <c r="F107" s="4" t="s">
        <v>475</v>
      </c>
      <c r="G107" s="4" t="s">
        <v>476</v>
      </c>
      <c r="H107" s="4"/>
      <c r="I107" s="4"/>
      <c r="J107" s="4"/>
      <c r="K107" s="4"/>
    </row>
    <row r="109" spans="1:11" ht="41.45">
      <c r="A109" s="4" t="s">
        <v>477</v>
      </c>
      <c r="B109" s="4" t="s">
        <v>478</v>
      </c>
      <c r="C109" s="4" t="s">
        <v>479</v>
      </c>
      <c r="D109" s="4" t="s">
        <v>480</v>
      </c>
      <c r="E109" s="4" t="s">
        <v>481</v>
      </c>
      <c r="F109" s="4" t="s">
        <v>482</v>
      </c>
      <c r="G109" s="4" t="s">
        <v>483</v>
      </c>
      <c r="H109" s="4"/>
      <c r="I109" s="4"/>
      <c r="J109" s="4"/>
      <c r="K109" s="4"/>
    </row>
    <row r="110" spans="1:11" ht="27.6">
      <c r="A110" s="4" t="s">
        <v>484</v>
      </c>
      <c r="B110" s="4" t="s">
        <v>478</v>
      </c>
      <c r="C110" s="4" t="s">
        <v>485</v>
      </c>
      <c r="D110" s="4" t="s">
        <v>486</v>
      </c>
      <c r="E110" s="4" t="s">
        <v>487</v>
      </c>
      <c r="F110" s="4" t="s">
        <v>488</v>
      </c>
      <c r="G110" s="4" t="s">
        <v>489</v>
      </c>
      <c r="H110" s="4"/>
      <c r="I110" s="4"/>
      <c r="J110" s="4"/>
      <c r="K110" s="4"/>
    </row>
    <row r="111" spans="1:11" ht="41.45">
      <c r="A111" s="4" t="s">
        <v>490</v>
      </c>
      <c r="B111" s="4" t="s">
        <v>478</v>
      </c>
      <c r="C111" s="4" t="s">
        <v>491</v>
      </c>
      <c r="D111" s="4" t="s">
        <v>492</v>
      </c>
      <c r="E111" s="4" t="s">
        <v>493</v>
      </c>
      <c r="F111" s="4" t="s">
        <v>494</v>
      </c>
      <c r="G111" s="4" t="s">
        <v>495</v>
      </c>
      <c r="H111" s="4"/>
      <c r="I111" s="4"/>
      <c r="J111" s="4"/>
      <c r="K111" s="4"/>
    </row>
    <row r="112" spans="1:11" ht="27.6">
      <c r="A112" s="4" t="s">
        <v>496</v>
      </c>
      <c r="B112" s="4" t="s">
        <v>497</v>
      </c>
      <c r="C112" s="4" t="s">
        <v>498</v>
      </c>
      <c r="D112" s="4" t="s">
        <v>499</v>
      </c>
      <c r="E112" s="4" t="s">
        <v>500</v>
      </c>
      <c r="F112" s="4" t="s">
        <v>501</v>
      </c>
      <c r="G112" s="4" t="s">
        <v>502</v>
      </c>
      <c r="H112" s="4"/>
      <c r="I112" s="4"/>
      <c r="J112" s="4"/>
      <c r="K112" s="4"/>
    </row>
    <row r="113" spans="1:11" ht="41.45">
      <c r="A113" s="4" t="s">
        <v>503</v>
      </c>
      <c r="B113" s="4" t="s">
        <v>497</v>
      </c>
      <c r="C113" s="4" t="s">
        <v>504</v>
      </c>
      <c r="D113" s="4" t="s">
        <v>499</v>
      </c>
      <c r="E113" s="4" t="s">
        <v>505</v>
      </c>
      <c r="F113" s="4" t="s">
        <v>501</v>
      </c>
      <c r="G113" s="4" t="s">
        <v>506</v>
      </c>
      <c r="H113" s="4"/>
      <c r="I113" s="4"/>
      <c r="J113" s="4"/>
      <c r="K113" s="4"/>
    </row>
    <row r="115" spans="1:11" ht="41.45">
      <c r="A115" s="4" t="s">
        <v>507</v>
      </c>
      <c r="B115" s="4" t="s">
        <v>508</v>
      </c>
      <c r="C115" s="4" t="s">
        <v>509</v>
      </c>
      <c r="D115" s="4" t="s">
        <v>510</v>
      </c>
      <c r="E115" s="4" t="s">
        <v>511</v>
      </c>
      <c r="F115" s="4" t="s">
        <v>512</v>
      </c>
      <c r="G115" s="4" t="s">
        <v>513</v>
      </c>
      <c r="H115" s="4"/>
      <c r="I115" s="4"/>
      <c r="J115" s="4"/>
      <c r="K115" s="4"/>
    </row>
    <row r="116" spans="1:11" ht="41.45">
      <c r="A116" s="4" t="s">
        <v>514</v>
      </c>
      <c r="B116" s="4" t="s">
        <v>508</v>
      </c>
      <c r="C116" s="4" t="s">
        <v>515</v>
      </c>
      <c r="D116" s="4" t="s">
        <v>516</v>
      </c>
      <c r="E116" s="4" t="s">
        <v>517</v>
      </c>
      <c r="F116" s="4" t="s">
        <v>518</v>
      </c>
      <c r="G116" s="4" t="s">
        <v>519</v>
      </c>
      <c r="H116" s="4"/>
      <c r="I116" s="4"/>
      <c r="J116" s="4"/>
      <c r="K116" s="4"/>
    </row>
    <row r="117" spans="1:11" ht="41.45">
      <c r="A117" s="4" t="s">
        <v>520</v>
      </c>
      <c r="B117" s="4" t="s">
        <v>521</v>
      </c>
      <c r="C117" s="4" t="s">
        <v>522</v>
      </c>
      <c r="D117" s="4" t="s">
        <v>523</v>
      </c>
      <c r="E117" s="4" t="s">
        <v>524</v>
      </c>
      <c r="F117" s="4" t="s">
        <v>525</v>
      </c>
      <c r="G117" s="4" t="s">
        <v>526</v>
      </c>
      <c r="H117" s="4"/>
      <c r="I117" s="4"/>
      <c r="J117" s="4"/>
      <c r="K117" s="4"/>
    </row>
    <row r="118" spans="1:11" ht="41.45">
      <c r="A118" s="4" t="s">
        <v>527</v>
      </c>
      <c r="B118" s="4" t="s">
        <v>521</v>
      </c>
      <c r="C118" s="4" t="s">
        <v>528</v>
      </c>
      <c r="D118" s="4" t="s">
        <v>529</v>
      </c>
      <c r="E118" s="4" t="s">
        <v>530</v>
      </c>
      <c r="F118" s="4" t="s">
        <v>531</v>
      </c>
      <c r="G118" s="4" t="s">
        <v>532</v>
      </c>
      <c r="H118" s="4"/>
      <c r="I118" s="4"/>
      <c r="J118" s="4"/>
      <c r="K118" s="4"/>
    </row>
    <row r="119" spans="1:11" ht="41.45">
      <c r="A119" s="4" t="s">
        <v>533</v>
      </c>
      <c r="B119" s="4" t="s">
        <v>521</v>
      </c>
      <c r="C119" s="4" t="s">
        <v>534</v>
      </c>
      <c r="D119" s="4" t="s">
        <v>535</v>
      </c>
      <c r="E119" s="4" t="s">
        <v>536</v>
      </c>
      <c r="F119" s="4" t="s">
        <v>537</v>
      </c>
      <c r="G119" s="4" t="s">
        <v>538</v>
      </c>
      <c r="H119" s="4"/>
      <c r="I119" s="4"/>
      <c r="J119" s="4"/>
      <c r="K119" s="4"/>
    </row>
    <row r="120" spans="1:11" ht="41.45">
      <c r="A120" s="4" t="s">
        <v>539</v>
      </c>
      <c r="B120" s="4" t="s">
        <v>540</v>
      </c>
      <c r="C120" s="4" t="s">
        <v>541</v>
      </c>
      <c r="D120" s="4" t="s">
        <v>542</v>
      </c>
      <c r="E120" s="4" t="s">
        <v>543</v>
      </c>
      <c r="F120" s="4" t="s">
        <v>544</v>
      </c>
      <c r="G120" s="4" t="s">
        <v>545</v>
      </c>
      <c r="H120" s="4"/>
      <c r="I120" s="4"/>
      <c r="J120" s="4"/>
      <c r="K120" s="4"/>
    </row>
    <row r="121" spans="1:11" ht="41.45">
      <c r="A121" s="4" t="s">
        <v>546</v>
      </c>
      <c r="B121" s="4" t="s">
        <v>540</v>
      </c>
      <c r="C121" s="4" t="s">
        <v>547</v>
      </c>
      <c r="D121" s="4" t="s">
        <v>548</v>
      </c>
      <c r="E121" s="4" t="s">
        <v>474</v>
      </c>
      <c r="F121" s="4" t="s">
        <v>549</v>
      </c>
      <c r="G121" s="4" t="s">
        <v>550</v>
      </c>
      <c r="H121" s="4"/>
      <c r="I121" s="4"/>
      <c r="J121" s="4"/>
      <c r="K121" s="4"/>
    </row>
    <row r="122" spans="1:11" ht="41.45">
      <c r="A122" s="4" t="s">
        <v>551</v>
      </c>
      <c r="B122" s="4" t="s">
        <v>540</v>
      </c>
      <c r="C122" s="4" t="s">
        <v>552</v>
      </c>
      <c r="D122" s="4" t="s">
        <v>553</v>
      </c>
      <c r="E122" s="4" t="s">
        <v>554</v>
      </c>
      <c r="F122" s="4" t="s">
        <v>555</v>
      </c>
      <c r="G122" s="4" t="s">
        <v>556</v>
      </c>
      <c r="H122" s="4"/>
      <c r="I122" s="4"/>
      <c r="J122" s="4"/>
      <c r="K122" s="4"/>
    </row>
    <row r="123" spans="1:11" ht="41.45">
      <c r="A123" s="4" t="s">
        <v>557</v>
      </c>
      <c r="B123" s="4" t="s">
        <v>540</v>
      </c>
      <c r="C123" s="4" t="s">
        <v>558</v>
      </c>
      <c r="D123" s="4" t="s">
        <v>559</v>
      </c>
      <c r="E123" s="4" t="s">
        <v>560</v>
      </c>
      <c r="F123" s="4" t="s">
        <v>228</v>
      </c>
      <c r="G123" s="4" t="s">
        <v>561</v>
      </c>
      <c r="H123" s="4"/>
      <c r="I123" s="4"/>
      <c r="J123" s="4"/>
      <c r="K123" s="4"/>
    </row>
    <row r="124" spans="1:11" ht="55.15">
      <c r="A124" s="4" t="s">
        <v>562</v>
      </c>
      <c r="B124" s="4" t="s">
        <v>563</v>
      </c>
      <c r="C124" s="4" t="s">
        <v>564</v>
      </c>
      <c r="D124" s="4" t="s">
        <v>565</v>
      </c>
      <c r="E124" s="4" t="s">
        <v>566</v>
      </c>
      <c r="F124" s="4" t="s">
        <v>567</v>
      </c>
      <c r="G124" s="4" t="s">
        <v>568</v>
      </c>
      <c r="H124" s="4"/>
      <c r="I124" s="4"/>
      <c r="J124" s="4"/>
      <c r="K124" s="4"/>
    </row>
    <row r="125" spans="1:11" ht="55.15">
      <c r="A125" s="4" t="s">
        <v>569</v>
      </c>
      <c r="B125" s="4" t="s">
        <v>563</v>
      </c>
      <c r="C125" s="4" t="s">
        <v>570</v>
      </c>
      <c r="D125" s="4" t="s">
        <v>571</v>
      </c>
      <c r="E125" s="4" t="s">
        <v>572</v>
      </c>
      <c r="F125" s="4" t="s">
        <v>573</v>
      </c>
      <c r="G125" s="4" t="s">
        <v>574</v>
      </c>
      <c r="H125" s="4"/>
      <c r="I125" s="4"/>
      <c r="J125" s="4"/>
      <c r="K125" s="4"/>
    </row>
    <row r="126" spans="1:11" ht="41.45">
      <c r="A126" s="4" t="s">
        <v>575</v>
      </c>
      <c r="B126" s="4" t="s">
        <v>563</v>
      </c>
      <c r="C126" s="4" t="s">
        <v>576</v>
      </c>
      <c r="D126" s="4" t="s">
        <v>577</v>
      </c>
      <c r="E126" s="4" t="s">
        <v>578</v>
      </c>
      <c r="F126" s="4" t="s">
        <v>579</v>
      </c>
      <c r="G126" s="4" t="s">
        <v>580</v>
      </c>
      <c r="H126" s="4"/>
      <c r="I126" s="4"/>
      <c r="J126" s="4"/>
      <c r="K126" s="4"/>
    </row>
    <row r="127" spans="1:11" ht="138">
      <c r="A127" s="4" t="s">
        <v>581</v>
      </c>
      <c r="B127" s="4" t="s">
        <v>582</v>
      </c>
      <c r="C127" s="4" t="s">
        <v>583</v>
      </c>
      <c r="D127" s="4" t="s">
        <v>584</v>
      </c>
      <c r="E127" s="4" t="s">
        <v>585</v>
      </c>
      <c r="F127" s="4" t="s">
        <v>586</v>
      </c>
      <c r="G127" s="4" t="s">
        <v>587</v>
      </c>
      <c r="H127" s="4"/>
      <c r="I127" s="4"/>
      <c r="J127" s="4"/>
      <c r="K127" s="4"/>
    </row>
  </sheetData>
  <mergeCells count="5">
    <mergeCell ref="A1:E3"/>
    <mergeCell ref="A4:C4"/>
    <mergeCell ref="A5:C5"/>
    <mergeCell ref="A6:C6"/>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E59D-C0A6-46A2-9B35-4253CCC4E619}">
  <dimension ref="A1:K48"/>
  <sheetViews>
    <sheetView topLeftCell="A40" zoomScale="115" zoomScaleNormal="115" workbookViewId="0">
      <selection activeCell="A47" sqref="A47:XFD47"/>
    </sheetView>
  </sheetViews>
  <sheetFormatPr defaultRowHeight="13.9"/>
  <cols>
    <col min="1" max="1" width="16.25" customWidth="1"/>
    <col min="2" max="3" width="15.75" customWidth="1"/>
    <col min="4" max="4" width="18.75" customWidth="1"/>
    <col min="5" max="5" width="48.375" customWidth="1"/>
    <col min="6" max="6" width="16.125" customWidth="1"/>
    <col min="7" max="7" width="27.75" customWidth="1"/>
    <col min="8" max="8" width="13.625" customWidth="1"/>
    <col min="9" max="9" width="16.25" customWidth="1"/>
    <col min="10" max="10" width="14.875" customWidth="1"/>
    <col min="11" max="11" width="19" customWidth="1"/>
  </cols>
  <sheetData>
    <row r="1" spans="1:11">
      <c r="A1" s="10" t="s">
        <v>0</v>
      </c>
      <c r="B1" s="11"/>
      <c r="C1" s="11"/>
      <c r="D1" s="11"/>
      <c r="E1" s="12"/>
      <c r="F1" s="1"/>
      <c r="G1" s="1"/>
      <c r="H1" s="1"/>
      <c r="I1" s="1"/>
      <c r="J1" s="1"/>
      <c r="K1" s="1"/>
    </row>
    <row r="2" spans="1:11">
      <c r="A2" s="13"/>
      <c r="B2" s="14"/>
      <c r="C2" s="14"/>
      <c r="D2" s="14"/>
      <c r="E2" s="15"/>
      <c r="F2" s="1"/>
      <c r="G2" s="1"/>
      <c r="H2" s="1"/>
      <c r="I2" s="1"/>
      <c r="J2" s="1"/>
      <c r="K2" s="1"/>
    </row>
    <row r="3" spans="1:11">
      <c r="A3" s="16"/>
      <c r="B3" s="17"/>
      <c r="C3" s="17"/>
      <c r="D3" s="17"/>
      <c r="E3" s="18"/>
      <c r="F3" s="1"/>
      <c r="G3" s="1"/>
      <c r="H3" s="1"/>
      <c r="I3" s="1"/>
      <c r="J3" s="1"/>
      <c r="K3" s="1"/>
    </row>
    <row r="4" spans="1:11">
      <c r="A4" s="19" t="s">
        <v>1</v>
      </c>
      <c r="B4" s="20"/>
      <c r="C4" s="21"/>
      <c r="D4" s="2" t="s">
        <v>2</v>
      </c>
      <c r="E4" s="3">
        <f>COUNTIF(H10:H367,"PASS")</f>
        <v>0</v>
      </c>
      <c r="F4" s="4"/>
      <c r="G4" s="4"/>
      <c r="H4" s="4"/>
      <c r="I4" s="4"/>
      <c r="J4" s="4"/>
      <c r="K4" s="4"/>
    </row>
    <row r="5" spans="1:11">
      <c r="A5" s="19" t="s">
        <v>3</v>
      </c>
      <c r="B5" s="20"/>
      <c r="C5" s="21"/>
      <c r="D5" s="2"/>
      <c r="E5" s="3">
        <f>COUNTIF(H10:H367,"FAIL")</f>
        <v>0</v>
      </c>
      <c r="F5" s="4"/>
      <c r="G5" s="4"/>
      <c r="H5" s="4"/>
      <c r="I5" s="4"/>
      <c r="J5" s="4"/>
      <c r="K5" s="4"/>
    </row>
    <row r="6" spans="1:11">
      <c r="A6" s="19" t="s">
        <v>4</v>
      </c>
      <c r="B6" s="20"/>
      <c r="C6" s="21"/>
      <c r="D6" s="2"/>
      <c r="E6" s="3">
        <f>COUNTIF(H10:H367,"Pending")</f>
        <v>35</v>
      </c>
      <c r="G6" s="4"/>
      <c r="H6" s="4"/>
      <c r="I6" s="4"/>
      <c r="J6" s="4"/>
      <c r="K6" s="4"/>
    </row>
    <row r="7" spans="1:11">
      <c r="A7" s="19" t="s">
        <v>5</v>
      </c>
      <c r="B7" s="20"/>
      <c r="C7" s="21"/>
      <c r="D7" s="2"/>
      <c r="E7" s="3">
        <f>COUNTA(H10:H367)</f>
        <v>35</v>
      </c>
      <c r="F7" s="4"/>
      <c r="G7" s="4"/>
      <c r="H7" s="4"/>
      <c r="I7" s="4"/>
      <c r="J7" s="4"/>
      <c r="K7" s="4"/>
    </row>
    <row r="8" spans="1:11">
      <c r="A8" s="5"/>
      <c r="B8" s="6"/>
      <c r="C8" s="6"/>
      <c r="D8" s="6"/>
      <c r="E8" s="6"/>
      <c r="F8" s="7"/>
      <c r="G8" s="7"/>
      <c r="H8" s="7"/>
      <c r="I8" s="7"/>
      <c r="J8" s="7"/>
      <c r="K8" s="7"/>
    </row>
    <row r="9" spans="1:11" ht="49.9">
      <c r="A9" s="8" t="s">
        <v>6</v>
      </c>
      <c r="B9" s="8" t="s">
        <v>7</v>
      </c>
      <c r="C9" s="8" t="s">
        <v>8</v>
      </c>
      <c r="D9" s="8" t="s">
        <v>9</v>
      </c>
      <c r="E9" s="8" t="s">
        <v>10</v>
      </c>
      <c r="F9" s="8" t="s">
        <v>11</v>
      </c>
      <c r="G9" s="8" t="s">
        <v>12</v>
      </c>
      <c r="H9" s="8" t="s">
        <v>13</v>
      </c>
      <c r="I9" s="8" t="s">
        <v>14</v>
      </c>
      <c r="J9" s="8" t="s">
        <v>15</v>
      </c>
      <c r="K9" s="9" t="s">
        <v>16</v>
      </c>
    </row>
    <row r="10" spans="1:11" ht="55.15">
      <c r="A10" s="4" t="s">
        <v>588</v>
      </c>
      <c r="B10" s="4" t="s">
        <v>589</v>
      </c>
      <c r="C10" s="4" t="s">
        <v>590</v>
      </c>
      <c r="D10" s="4" t="s">
        <v>20</v>
      </c>
      <c r="E10" s="4" t="s">
        <v>591</v>
      </c>
      <c r="F10" s="4" t="s">
        <v>592</v>
      </c>
      <c r="G10" s="4" t="s">
        <v>593</v>
      </c>
      <c r="H10" s="4" t="s">
        <v>594</v>
      </c>
      <c r="I10" s="4"/>
      <c r="J10" s="4"/>
      <c r="K10" s="4" t="s">
        <v>595</v>
      </c>
    </row>
    <row r="11" spans="1:11" ht="27.6">
      <c r="A11" s="4" t="s">
        <v>596</v>
      </c>
      <c r="B11" s="4" t="s">
        <v>589</v>
      </c>
      <c r="C11" s="4" t="s">
        <v>597</v>
      </c>
      <c r="D11" s="4" t="s">
        <v>598</v>
      </c>
      <c r="E11" s="4" t="s">
        <v>599</v>
      </c>
      <c r="F11" s="4" t="s">
        <v>600</v>
      </c>
      <c r="G11" s="4" t="s">
        <v>601</v>
      </c>
      <c r="H11" s="4" t="s">
        <v>594</v>
      </c>
      <c r="I11" s="4"/>
      <c r="J11" s="4"/>
      <c r="K11" s="4" t="s">
        <v>602</v>
      </c>
    </row>
    <row r="12" spans="1:11" ht="27.6">
      <c r="A12" s="4" t="s">
        <v>603</v>
      </c>
      <c r="B12" s="4" t="s">
        <v>589</v>
      </c>
      <c r="C12" s="4" t="s">
        <v>604</v>
      </c>
      <c r="D12" s="4" t="s">
        <v>605</v>
      </c>
      <c r="E12" s="4" t="s">
        <v>606</v>
      </c>
      <c r="F12" s="4" t="s">
        <v>607</v>
      </c>
      <c r="G12" s="4" t="s">
        <v>608</v>
      </c>
      <c r="H12" s="4" t="s">
        <v>594</v>
      </c>
      <c r="I12" s="4"/>
      <c r="J12" s="4"/>
      <c r="K12" s="4" t="s">
        <v>602</v>
      </c>
    </row>
    <row r="13" spans="1:11" ht="41.45">
      <c r="A13" s="4" t="s">
        <v>609</v>
      </c>
      <c r="B13" s="4" t="s">
        <v>610</v>
      </c>
      <c r="C13" s="4" t="s">
        <v>611</v>
      </c>
      <c r="D13" s="4" t="s">
        <v>612</v>
      </c>
      <c r="E13" s="4" t="s">
        <v>613</v>
      </c>
      <c r="F13" s="4" t="s">
        <v>614</v>
      </c>
      <c r="G13" s="4" t="s">
        <v>615</v>
      </c>
      <c r="H13" s="4" t="s">
        <v>594</v>
      </c>
      <c r="I13" s="4"/>
      <c r="J13" s="4"/>
      <c r="K13" s="4" t="s">
        <v>595</v>
      </c>
    </row>
    <row r="14" spans="1:11" ht="41.45">
      <c r="A14" s="4" t="s">
        <v>616</v>
      </c>
      <c r="B14" s="4" t="s">
        <v>610</v>
      </c>
      <c r="C14" s="4" t="s">
        <v>617</v>
      </c>
      <c r="D14" s="4" t="s">
        <v>26</v>
      </c>
      <c r="E14" s="4" t="s">
        <v>618</v>
      </c>
      <c r="F14" s="4" t="s">
        <v>28</v>
      </c>
      <c r="G14" s="4" t="s">
        <v>619</v>
      </c>
      <c r="H14" s="4" t="s">
        <v>594</v>
      </c>
      <c r="I14" s="4"/>
      <c r="J14" s="4"/>
      <c r="K14" s="4" t="s">
        <v>620</v>
      </c>
    </row>
    <row r="15" spans="1:11" ht="41.45">
      <c r="A15" s="4" t="s">
        <v>621</v>
      </c>
      <c r="B15" s="4" t="s">
        <v>610</v>
      </c>
      <c r="C15" s="4" t="s">
        <v>622</v>
      </c>
      <c r="D15" s="4" t="s">
        <v>623</v>
      </c>
      <c r="E15" s="4" t="s">
        <v>624</v>
      </c>
      <c r="F15" s="4" t="s">
        <v>625</v>
      </c>
      <c r="G15" s="4" t="s">
        <v>626</v>
      </c>
      <c r="H15" s="4" t="s">
        <v>594</v>
      </c>
      <c r="I15" s="4"/>
      <c r="J15" s="4"/>
      <c r="K15" s="4" t="s">
        <v>627</v>
      </c>
    </row>
    <row r="16" spans="1:11" ht="41.45">
      <c r="A16" s="4" t="s">
        <v>628</v>
      </c>
      <c r="B16" s="4" t="s">
        <v>610</v>
      </c>
      <c r="C16" s="4" t="s">
        <v>629</v>
      </c>
      <c r="D16" s="4" t="s">
        <v>630</v>
      </c>
      <c r="E16" s="4" t="s">
        <v>631</v>
      </c>
      <c r="F16" s="4" t="s">
        <v>632</v>
      </c>
      <c r="G16" s="4" t="s">
        <v>633</v>
      </c>
      <c r="H16" s="4" t="s">
        <v>594</v>
      </c>
      <c r="I16" s="4"/>
      <c r="J16" s="4"/>
      <c r="K16" s="4" t="s">
        <v>627</v>
      </c>
    </row>
    <row r="17" spans="1:11" ht="27.6">
      <c r="A17" s="4" t="s">
        <v>634</v>
      </c>
      <c r="B17" s="4" t="s">
        <v>610</v>
      </c>
      <c r="C17" s="4" t="s">
        <v>635</v>
      </c>
      <c r="D17" s="4" t="s">
        <v>636</v>
      </c>
      <c r="E17" s="4" t="s">
        <v>637</v>
      </c>
      <c r="F17" s="4" t="s">
        <v>614</v>
      </c>
      <c r="G17" s="4" t="s">
        <v>638</v>
      </c>
      <c r="H17" s="4" t="s">
        <v>594</v>
      </c>
      <c r="I17" s="4"/>
      <c r="J17" s="4"/>
      <c r="K17" s="4" t="s">
        <v>639</v>
      </c>
    </row>
    <row r="19" spans="1:11" ht="55.15">
      <c r="A19" s="4" t="s">
        <v>640</v>
      </c>
      <c r="B19" s="4" t="s">
        <v>641</v>
      </c>
      <c r="C19" s="4" t="s">
        <v>642</v>
      </c>
      <c r="D19" s="4" t="s">
        <v>643</v>
      </c>
      <c r="E19" s="4" t="s">
        <v>644</v>
      </c>
      <c r="F19" s="4" t="s">
        <v>645</v>
      </c>
      <c r="G19" s="4" t="s">
        <v>646</v>
      </c>
      <c r="H19" s="4" t="s">
        <v>594</v>
      </c>
      <c r="I19" s="4"/>
      <c r="J19" s="4"/>
      <c r="K19" s="4" t="s">
        <v>595</v>
      </c>
    </row>
    <row r="20" spans="1:11" ht="55.15">
      <c r="A20" s="4" t="s">
        <v>647</v>
      </c>
      <c r="B20" s="4" t="s">
        <v>641</v>
      </c>
      <c r="C20" s="4" t="s">
        <v>648</v>
      </c>
      <c r="D20" s="4" t="s">
        <v>649</v>
      </c>
      <c r="E20" s="4" t="s">
        <v>308</v>
      </c>
      <c r="F20" s="4" t="s">
        <v>309</v>
      </c>
      <c r="G20" s="4" t="s">
        <v>650</v>
      </c>
      <c r="H20" s="4" t="s">
        <v>594</v>
      </c>
      <c r="I20" s="4"/>
      <c r="J20" s="4"/>
      <c r="K20" s="4" t="s">
        <v>651</v>
      </c>
    </row>
    <row r="21" spans="1:11" ht="27.6">
      <c r="A21" s="4" t="s">
        <v>652</v>
      </c>
      <c r="B21" s="4" t="s">
        <v>641</v>
      </c>
      <c r="C21" s="4" t="s">
        <v>653</v>
      </c>
      <c r="D21" s="4" t="s">
        <v>654</v>
      </c>
      <c r="E21" s="4" t="s">
        <v>655</v>
      </c>
      <c r="F21" s="4" t="s">
        <v>488</v>
      </c>
      <c r="G21" s="4" t="s">
        <v>656</v>
      </c>
      <c r="H21" s="4" t="s">
        <v>594</v>
      </c>
      <c r="I21" s="4"/>
      <c r="J21" s="4"/>
      <c r="K21" s="4" t="s">
        <v>651</v>
      </c>
    </row>
    <row r="22" spans="1:11" ht="41.45">
      <c r="A22" s="4" t="s">
        <v>657</v>
      </c>
      <c r="B22" s="4" t="s">
        <v>641</v>
      </c>
      <c r="C22" s="4" t="s">
        <v>658</v>
      </c>
      <c r="D22" s="4" t="s">
        <v>659</v>
      </c>
      <c r="E22" s="4" t="s">
        <v>660</v>
      </c>
      <c r="F22" s="4" t="s">
        <v>661</v>
      </c>
      <c r="G22" s="4" t="s">
        <v>662</v>
      </c>
      <c r="H22" s="4" t="s">
        <v>594</v>
      </c>
      <c r="I22" s="4"/>
      <c r="J22" s="4"/>
      <c r="K22" s="4" t="s">
        <v>663</v>
      </c>
    </row>
    <row r="23" spans="1:11" ht="27.6">
      <c r="A23" s="4" t="s">
        <v>664</v>
      </c>
      <c r="B23" s="4" t="s">
        <v>641</v>
      </c>
      <c r="C23" s="4" t="s">
        <v>665</v>
      </c>
      <c r="D23" s="4" t="s">
        <v>666</v>
      </c>
      <c r="E23" s="4" t="s">
        <v>667</v>
      </c>
      <c r="F23" s="4" t="s">
        <v>315</v>
      </c>
      <c r="G23" s="4" t="s">
        <v>668</v>
      </c>
      <c r="H23" s="4" t="s">
        <v>594</v>
      </c>
      <c r="I23" s="4"/>
      <c r="J23" s="4"/>
      <c r="K23" s="4" t="s">
        <v>639</v>
      </c>
    </row>
    <row r="24" spans="1:11" ht="41.45">
      <c r="A24" s="4" t="s">
        <v>669</v>
      </c>
      <c r="B24" s="4" t="s">
        <v>641</v>
      </c>
      <c r="C24" s="4" t="s">
        <v>670</v>
      </c>
      <c r="D24" s="4" t="s">
        <v>671</v>
      </c>
      <c r="E24" s="4" t="s">
        <v>672</v>
      </c>
      <c r="F24" s="4" t="s">
        <v>673</v>
      </c>
      <c r="G24" s="4" t="s">
        <v>674</v>
      </c>
      <c r="H24" s="4" t="s">
        <v>594</v>
      </c>
      <c r="I24" s="4"/>
      <c r="J24" s="4"/>
      <c r="K24" s="4" t="s">
        <v>675</v>
      </c>
    </row>
    <row r="25" spans="1:11" ht="27.6">
      <c r="A25" s="4" t="s">
        <v>676</v>
      </c>
      <c r="B25" s="4" t="s">
        <v>641</v>
      </c>
      <c r="C25" s="4" t="s">
        <v>677</v>
      </c>
      <c r="D25" s="4" t="s">
        <v>678</v>
      </c>
      <c r="E25" s="4" t="s">
        <v>679</v>
      </c>
      <c r="F25" s="4" t="s">
        <v>680</v>
      </c>
      <c r="G25" s="4" t="s">
        <v>681</v>
      </c>
      <c r="H25" s="4" t="s">
        <v>594</v>
      </c>
      <c r="I25" s="4"/>
      <c r="J25" s="4"/>
      <c r="K25" s="4" t="s">
        <v>627</v>
      </c>
    </row>
    <row r="26" spans="1:11" ht="27.6">
      <c r="A26" s="4" t="s">
        <v>682</v>
      </c>
      <c r="B26" s="4" t="s">
        <v>641</v>
      </c>
      <c r="C26" s="4" t="s">
        <v>683</v>
      </c>
      <c r="D26" s="4" t="s">
        <v>684</v>
      </c>
      <c r="E26" s="4" t="s">
        <v>685</v>
      </c>
      <c r="F26" s="4" t="s">
        <v>686</v>
      </c>
      <c r="G26" s="4" t="s">
        <v>687</v>
      </c>
      <c r="H26" s="4" t="s">
        <v>594</v>
      </c>
      <c r="I26" s="4"/>
      <c r="J26" s="4"/>
      <c r="K26" s="4" t="s">
        <v>627</v>
      </c>
    </row>
    <row r="28" spans="1:11" ht="55.15">
      <c r="A28" s="4" t="s">
        <v>688</v>
      </c>
      <c r="B28" s="4" t="s">
        <v>689</v>
      </c>
      <c r="C28" s="4" t="s">
        <v>690</v>
      </c>
      <c r="D28" s="4" t="s">
        <v>691</v>
      </c>
      <c r="E28" s="4" t="s">
        <v>692</v>
      </c>
      <c r="F28" s="4" t="s">
        <v>693</v>
      </c>
      <c r="G28" s="4" t="s">
        <v>694</v>
      </c>
      <c r="H28" s="4" t="s">
        <v>594</v>
      </c>
      <c r="I28" s="4"/>
      <c r="J28" s="4"/>
      <c r="K28" s="4" t="s">
        <v>595</v>
      </c>
    </row>
    <row r="29" spans="1:11" ht="41.45">
      <c r="A29" s="4" t="s">
        <v>695</v>
      </c>
      <c r="B29" s="4" t="s">
        <v>689</v>
      </c>
      <c r="C29" s="4" t="s">
        <v>696</v>
      </c>
      <c r="D29" s="4" t="s">
        <v>697</v>
      </c>
      <c r="E29" s="4" t="s">
        <v>698</v>
      </c>
      <c r="F29" s="4" t="s">
        <v>699</v>
      </c>
      <c r="G29" s="4" t="s">
        <v>700</v>
      </c>
      <c r="H29" s="4" t="s">
        <v>594</v>
      </c>
      <c r="I29" s="4"/>
      <c r="J29" s="4"/>
      <c r="K29" s="4" t="s">
        <v>651</v>
      </c>
    </row>
    <row r="30" spans="1:11" ht="41.45">
      <c r="A30" s="4" t="s">
        <v>701</v>
      </c>
      <c r="B30" s="4" t="s">
        <v>689</v>
      </c>
      <c r="C30" s="4" t="s">
        <v>702</v>
      </c>
      <c r="D30" s="4" t="s">
        <v>703</v>
      </c>
      <c r="E30" s="4" t="s">
        <v>704</v>
      </c>
      <c r="F30" s="4" t="s">
        <v>699</v>
      </c>
      <c r="G30" s="4" t="s">
        <v>705</v>
      </c>
      <c r="H30" s="4" t="s">
        <v>594</v>
      </c>
      <c r="I30" s="4"/>
      <c r="J30" s="4"/>
      <c r="K30" s="4" t="s">
        <v>651</v>
      </c>
    </row>
    <row r="31" spans="1:11" ht="55.15">
      <c r="A31" s="4" t="s">
        <v>706</v>
      </c>
      <c r="B31" s="4" t="s">
        <v>689</v>
      </c>
      <c r="C31" s="4" t="s">
        <v>707</v>
      </c>
      <c r="D31" s="4" t="s">
        <v>708</v>
      </c>
      <c r="E31" s="4" t="s">
        <v>709</v>
      </c>
      <c r="F31" s="4" t="s">
        <v>710</v>
      </c>
      <c r="G31" s="4" t="s">
        <v>711</v>
      </c>
      <c r="H31" s="4" t="s">
        <v>594</v>
      </c>
      <c r="I31" s="4"/>
      <c r="J31" s="4"/>
      <c r="K31" s="4" t="s">
        <v>602</v>
      </c>
    </row>
    <row r="32" spans="1:11" ht="41.45">
      <c r="A32" s="4" t="s">
        <v>712</v>
      </c>
      <c r="B32" s="4" t="s">
        <v>689</v>
      </c>
      <c r="C32" s="4" t="s">
        <v>713</v>
      </c>
      <c r="D32" s="4" t="s">
        <v>714</v>
      </c>
      <c r="E32" s="4" t="s">
        <v>715</v>
      </c>
      <c r="F32" s="4" t="s">
        <v>716</v>
      </c>
      <c r="G32" s="4" t="s">
        <v>717</v>
      </c>
      <c r="H32" s="4" t="s">
        <v>594</v>
      </c>
      <c r="I32" s="4"/>
      <c r="J32" s="4"/>
      <c r="K32" s="4" t="s">
        <v>718</v>
      </c>
    </row>
    <row r="33" spans="1:11" ht="41.45">
      <c r="A33" s="4" t="s">
        <v>719</v>
      </c>
      <c r="B33" s="4" t="s">
        <v>689</v>
      </c>
      <c r="C33" s="4" t="s">
        <v>720</v>
      </c>
      <c r="D33" s="4" t="s">
        <v>721</v>
      </c>
      <c r="E33" s="4" t="s">
        <v>722</v>
      </c>
      <c r="F33" s="4" t="s">
        <v>614</v>
      </c>
      <c r="G33" s="4" t="s">
        <v>723</v>
      </c>
      <c r="H33" s="4" t="s">
        <v>594</v>
      </c>
      <c r="I33" s="4"/>
      <c r="J33" s="4"/>
      <c r="K33" s="4" t="s">
        <v>724</v>
      </c>
    </row>
    <row r="34" spans="1:11" ht="41.45">
      <c r="A34" s="4" t="s">
        <v>725</v>
      </c>
      <c r="B34" s="4" t="s">
        <v>689</v>
      </c>
      <c r="C34" s="4" t="s">
        <v>726</v>
      </c>
      <c r="D34" s="4" t="s">
        <v>727</v>
      </c>
      <c r="E34" s="4" t="s">
        <v>728</v>
      </c>
      <c r="F34" s="4" t="s">
        <v>729</v>
      </c>
      <c r="G34" s="4" t="s">
        <v>730</v>
      </c>
      <c r="H34" s="4" t="s">
        <v>594</v>
      </c>
      <c r="I34" s="4"/>
      <c r="J34" s="4"/>
      <c r="K34" s="4" t="s">
        <v>718</v>
      </c>
    </row>
    <row r="36" spans="1:11" ht="55.15">
      <c r="A36" s="4" t="s">
        <v>731</v>
      </c>
      <c r="B36" s="4" t="s">
        <v>627</v>
      </c>
      <c r="C36" s="4" t="s">
        <v>732</v>
      </c>
      <c r="D36" s="4" t="s">
        <v>733</v>
      </c>
      <c r="E36" s="4" t="s">
        <v>734</v>
      </c>
      <c r="F36" s="4" t="s">
        <v>735</v>
      </c>
      <c r="G36" s="4" t="s">
        <v>736</v>
      </c>
      <c r="H36" s="4" t="s">
        <v>594</v>
      </c>
      <c r="I36" s="4"/>
      <c r="J36" s="4"/>
      <c r="K36" s="4" t="s">
        <v>737</v>
      </c>
    </row>
    <row r="37" spans="1:11" ht="41.45">
      <c r="A37" s="4" t="s">
        <v>738</v>
      </c>
      <c r="B37" s="4" t="s">
        <v>627</v>
      </c>
      <c r="C37" s="4" t="s">
        <v>739</v>
      </c>
      <c r="D37" s="4" t="s">
        <v>740</v>
      </c>
      <c r="E37" s="4" t="s">
        <v>741</v>
      </c>
      <c r="F37" s="4" t="s">
        <v>742</v>
      </c>
      <c r="G37" s="4" t="s">
        <v>743</v>
      </c>
      <c r="H37" s="4" t="s">
        <v>594</v>
      </c>
      <c r="I37" s="4"/>
      <c r="J37" s="4"/>
      <c r="K37" s="4" t="s">
        <v>744</v>
      </c>
    </row>
    <row r="38" spans="1:11" ht="41.45">
      <c r="A38" s="4" t="s">
        <v>745</v>
      </c>
      <c r="B38" s="4" t="s">
        <v>627</v>
      </c>
      <c r="C38" s="4" t="s">
        <v>746</v>
      </c>
      <c r="D38" s="4" t="s">
        <v>747</v>
      </c>
      <c r="E38" s="4" t="s">
        <v>748</v>
      </c>
      <c r="F38" s="4" t="s">
        <v>749</v>
      </c>
      <c r="G38" s="4" t="s">
        <v>750</v>
      </c>
      <c r="H38" s="4" t="s">
        <v>594</v>
      </c>
      <c r="I38" s="4"/>
      <c r="J38" s="4"/>
      <c r="K38" s="4" t="s">
        <v>751</v>
      </c>
    </row>
    <row r="39" spans="1:11" ht="41.45">
      <c r="A39" s="4" t="s">
        <v>752</v>
      </c>
      <c r="B39" s="4" t="s">
        <v>627</v>
      </c>
      <c r="C39" s="4" t="s">
        <v>753</v>
      </c>
      <c r="D39" s="4" t="s">
        <v>754</v>
      </c>
      <c r="E39" s="4" t="s">
        <v>755</v>
      </c>
      <c r="F39" s="4" t="s">
        <v>756</v>
      </c>
      <c r="G39" s="4" t="s">
        <v>757</v>
      </c>
      <c r="H39" s="4" t="s">
        <v>594</v>
      </c>
      <c r="I39" s="4"/>
      <c r="J39" s="4"/>
      <c r="K39" s="4" t="s">
        <v>758</v>
      </c>
    </row>
    <row r="40" spans="1:11" ht="41.45">
      <c r="A40" s="4" t="s">
        <v>759</v>
      </c>
      <c r="B40" s="4" t="s">
        <v>627</v>
      </c>
      <c r="C40" s="4" t="s">
        <v>760</v>
      </c>
      <c r="D40" s="4" t="s">
        <v>761</v>
      </c>
      <c r="E40" s="4" t="s">
        <v>762</v>
      </c>
      <c r="F40" s="4" t="s">
        <v>763</v>
      </c>
      <c r="G40" s="4" t="s">
        <v>764</v>
      </c>
      <c r="H40" s="4" t="s">
        <v>594</v>
      </c>
      <c r="I40" s="4"/>
      <c r="J40" s="4"/>
      <c r="K40" s="4" t="s">
        <v>765</v>
      </c>
    </row>
    <row r="42" spans="1:11" ht="41.45">
      <c r="A42" s="4" t="s">
        <v>766</v>
      </c>
      <c r="B42" s="4" t="s">
        <v>767</v>
      </c>
      <c r="C42" s="4" t="s">
        <v>768</v>
      </c>
      <c r="D42" s="4" t="s">
        <v>769</v>
      </c>
      <c r="E42" s="4" t="s">
        <v>770</v>
      </c>
      <c r="F42" s="4" t="s">
        <v>771</v>
      </c>
      <c r="G42" s="4" t="s">
        <v>772</v>
      </c>
      <c r="H42" s="4" t="s">
        <v>594</v>
      </c>
      <c r="I42" s="4"/>
      <c r="J42" s="4"/>
      <c r="K42" s="4" t="s">
        <v>773</v>
      </c>
    </row>
    <row r="43" spans="1:11" ht="41.45">
      <c r="A43" s="4" t="s">
        <v>774</v>
      </c>
      <c r="B43" s="4" t="s">
        <v>767</v>
      </c>
      <c r="C43" s="4" t="s">
        <v>775</v>
      </c>
      <c r="D43" s="4" t="s">
        <v>309</v>
      </c>
      <c r="E43" s="4" t="s">
        <v>776</v>
      </c>
      <c r="F43" s="4" t="s">
        <v>777</v>
      </c>
      <c r="G43" s="4" t="s">
        <v>778</v>
      </c>
      <c r="H43" s="4" t="s">
        <v>594</v>
      </c>
      <c r="I43" s="4"/>
      <c r="J43" s="4"/>
      <c r="K43" s="4" t="s">
        <v>773</v>
      </c>
    </row>
    <row r="44" spans="1:11" ht="41.45">
      <c r="A44" s="4" t="s">
        <v>779</v>
      </c>
      <c r="B44" s="4" t="s">
        <v>540</v>
      </c>
      <c r="C44" s="4" t="s">
        <v>780</v>
      </c>
      <c r="D44" s="4" t="s">
        <v>721</v>
      </c>
      <c r="E44" s="4" t="s">
        <v>781</v>
      </c>
      <c r="F44" s="4" t="s">
        <v>782</v>
      </c>
      <c r="G44" s="4" t="s">
        <v>783</v>
      </c>
      <c r="H44" s="4" t="s">
        <v>594</v>
      </c>
      <c r="I44" s="4"/>
      <c r="J44" s="4"/>
      <c r="K44" s="4" t="s">
        <v>724</v>
      </c>
    </row>
    <row r="45" spans="1:11" ht="41.45">
      <c r="A45" s="4" t="s">
        <v>784</v>
      </c>
      <c r="B45" s="4" t="s">
        <v>540</v>
      </c>
      <c r="C45" s="4" t="s">
        <v>785</v>
      </c>
      <c r="D45" s="4" t="s">
        <v>648</v>
      </c>
      <c r="E45" s="4" t="s">
        <v>786</v>
      </c>
      <c r="F45" s="4" t="s">
        <v>777</v>
      </c>
      <c r="G45" s="4" t="s">
        <v>787</v>
      </c>
      <c r="H45" s="4" t="s">
        <v>594</v>
      </c>
      <c r="I45" s="4"/>
      <c r="J45" s="4"/>
      <c r="K45" s="4" t="s">
        <v>724</v>
      </c>
    </row>
    <row r="46" spans="1:11" ht="41.45">
      <c r="A46" s="4" t="s">
        <v>788</v>
      </c>
      <c r="B46" s="4" t="s">
        <v>789</v>
      </c>
      <c r="C46" s="4" t="s">
        <v>790</v>
      </c>
      <c r="D46" s="4" t="s">
        <v>791</v>
      </c>
      <c r="E46" s="4" t="s">
        <v>792</v>
      </c>
      <c r="F46" s="4" t="s">
        <v>793</v>
      </c>
      <c r="G46" s="4" t="s">
        <v>794</v>
      </c>
      <c r="H46" s="4" t="s">
        <v>594</v>
      </c>
      <c r="I46" s="4"/>
      <c r="J46" s="4"/>
      <c r="K46" s="4" t="s">
        <v>795</v>
      </c>
    </row>
    <row r="47" spans="1:11" ht="27.6">
      <c r="A47" s="4" t="s">
        <v>796</v>
      </c>
      <c r="B47" s="4" t="s">
        <v>789</v>
      </c>
      <c r="C47" s="4" t="s">
        <v>797</v>
      </c>
      <c r="D47" s="4" t="s">
        <v>798</v>
      </c>
      <c r="E47" s="4" t="s">
        <v>799</v>
      </c>
      <c r="F47" s="4" t="s">
        <v>800</v>
      </c>
      <c r="G47" s="4" t="s">
        <v>801</v>
      </c>
      <c r="H47" s="4" t="s">
        <v>594</v>
      </c>
      <c r="I47" s="4"/>
      <c r="J47" s="4"/>
      <c r="K47" s="4" t="s">
        <v>795</v>
      </c>
    </row>
    <row r="48" spans="1:11" ht="55.15">
      <c r="A48" s="4" t="s">
        <v>802</v>
      </c>
      <c r="B48" s="4" t="s">
        <v>789</v>
      </c>
      <c r="C48" s="4" t="s">
        <v>803</v>
      </c>
      <c r="D48" s="4" t="s">
        <v>309</v>
      </c>
      <c r="E48" s="4" t="s">
        <v>804</v>
      </c>
      <c r="F48" s="4" t="s">
        <v>777</v>
      </c>
      <c r="G48" s="4" t="s">
        <v>805</v>
      </c>
      <c r="H48" s="4" t="s">
        <v>594</v>
      </c>
      <c r="I48" s="4"/>
      <c r="J48" s="4"/>
      <c r="K48" s="4" t="s">
        <v>795</v>
      </c>
    </row>
  </sheetData>
  <mergeCells count="5">
    <mergeCell ref="A1:E3"/>
    <mergeCell ref="A4:C4"/>
    <mergeCell ref="A5:C5"/>
    <mergeCell ref="A6:C6"/>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642A-8B60-41BD-B337-3101C25129A5}">
  <dimension ref="A1"/>
  <sheetViews>
    <sheetView workbookViewId="0">
      <selection activeCell="F31" sqref="F31"/>
    </sheetView>
  </sheetViews>
  <sheetFormatPr defaultRowHeight="13.9"/>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Thuy Vu Thanh</cp:lastModifiedBy>
  <cp:revision/>
  <dcterms:created xsi:type="dcterms:W3CDTF">2015-06-05T18:17:20Z</dcterms:created>
  <dcterms:modified xsi:type="dcterms:W3CDTF">2026-07-13T07:02:09Z</dcterms:modified>
  <cp:category/>
  <cp:contentStatus/>
</cp:coreProperties>
</file>