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6"/>
  <workbookPr/>
  <mc:AlternateContent xmlns:mc="http://schemas.openxmlformats.org/markup-compatibility/2006">
    <mc:Choice Requires="x15">
      <x15ac:absPath xmlns:x15ac="http://schemas.microsoft.com/office/spreadsheetml/2010/11/ac" url="D:\eNao\"/>
    </mc:Choice>
  </mc:AlternateContent>
  <xr:revisionPtr revIDLastSave="32" documentId="13_ncr:1_{EA07CD6B-9DD5-40A2-B4C4-867C6D2F9312}" xr6:coauthVersionLast="47" xr6:coauthVersionMax="47" xr10:uidLastSave="{25142F6E-B709-46C3-BF9B-D3E3AEDA4F82}"/>
  <bookViews>
    <workbookView xWindow="-98" yWindow="-98" windowWidth="23236" windowHeight="13875" firstSheet="1" xr2:uid="{4D96BC22-BBC4-4317-A7B2-51D369C73352}"/>
  </bookViews>
  <sheets>
    <sheet name="Tin rao vặt" sheetId="1" r:id="rId1"/>
    <sheet name="Security" sheetId="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7" i="1" l="1"/>
  <c r="E6" i="1"/>
  <c r="E5" i="1"/>
  <c r="E4" i="1"/>
</calcChain>
</file>

<file path=xl/sharedStrings.xml><?xml version="1.0" encoding="utf-8"?>
<sst xmlns="http://schemas.openxmlformats.org/spreadsheetml/2006/main" count="692" uniqueCount="391">
  <si>
    <r>
      <t xml:space="preserve">KỊCH BẢN KIỂM THỬ
</t>
    </r>
    <r>
      <rPr>
        <sz val="16"/>
        <rFont val="Times New Roman"/>
        <family val="1"/>
      </rPr>
      <t>Dự án: &lt;&lt;Tên dự án&gt;&gt;</t>
    </r>
  </si>
  <si>
    <t>Số trường hợp kiểm thử đạt (Pass)</t>
  </si>
  <si>
    <t>x</t>
  </si>
  <si>
    <t>Số trường hợp kiểm thử không đạt (Fail)</t>
  </si>
  <si>
    <t>Số trường hợp kiểm thử Không test(Pending)</t>
  </si>
  <si>
    <t>Tổng số trường hợp kiểm thử</t>
  </si>
  <si>
    <t>Mã trường hợp kiểm thử</t>
  </si>
  <si>
    <r>
      <t xml:space="preserve">Chức năng
</t>
    </r>
    <r>
      <rPr>
        <i/>
        <sz val="9"/>
        <rFont val="Times New Roman"/>
        <family val="1"/>
      </rPr>
      <t>&lt;&lt;Liệt kê các chức năng cần kiểm thử&gt;&gt;</t>
    </r>
  </si>
  <si>
    <r>
      <t xml:space="preserve">Mô tả
</t>
    </r>
    <r>
      <rPr>
        <i/>
        <sz val="9"/>
        <rFont val="Times New Roman"/>
        <family val="1"/>
      </rPr>
      <t>&lt;&lt; Mô tả test case đáp ứng có kịch bản &gt;&gt;</t>
    </r>
  </si>
  <si>
    <r>
      <t xml:space="preserve">Điều kiện tiên quyết
</t>
    </r>
    <r>
      <rPr>
        <sz val="9"/>
        <rFont val="Times New Roman"/>
        <family val="1"/>
      </rPr>
      <t>&lt;&lt; Mô tả điều kiện cần đáp ứng &gt;&gt;</t>
    </r>
  </si>
  <si>
    <r>
      <t xml:space="preserve">Các bước thực hiện
</t>
    </r>
    <r>
      <rPr>
        <i/>
        <sz val="9"/>
        <rFont val="Times New Roman"/>
        <family val="1"/>
      </rPr>
      <t>&lt;&lt; Mô tả test case đáp ứng có kịch bản &gt;&gt;</t>
    </r>
  </si>
  <si>
    <r>
      <t xml:space="preserve">Dữ liệu test
</t>
    </r>
    <r>
      <rPr>
        <i/>
        <sz val="9"/>
        <rFont val="Times New Roman"/>
        <family val="1"/>
      </rPr>
      <t>&lt;&lt;Dữ liệu cần để thực hiện kịch bản&gt;&gt;</t>
    </r>
  </si>
  <si>
    <r>
      <t xml:space="preserve">Kết quả mong muốn
</t>
    </r>
    <r>
      <rPr>
        <i/>
        <sz val="9"/>
        <rFont val="Times New Roman"/>
        <family val="1"/>
      </rPr>
      <t>&lt;&lt; Mô tả kết quả mong muốn &gt;&gt;</t>
    </r>
  </si>
  <si>
    <r>
      <t xml:space="preserve">Kết quả
</t>
    </r>
    <r>
      <rPr>
        <i/>
        <sz val="9"/>
        <rFont val="Times New Roman"/>
        <family val="1"/>
      </rPr>
      <t>&lt;&lt;Trạng thái Test&gt;&gt;</t>
    </r>
  </si>
  <si>
    <t>Người thực hiện</t>
  </si>
  <si>
    <t>Ngày thực hiện</t>
  </si>
  <si>
    <r>
      <t xml:space="preserve">Ghi chú
</t>
    </r>
    <r>
      <rPr>
        <i/>
        <sz val="9"/>
        <color theme="1"/>
        <rFont val="Times New Roman"/>
        <family val="1"/>
      </rPr>
      <t>&lt;&lt; Bằng chứng lỗi, mã lỗi &gt;&gt;</t>
    </r>
  </si>
  <si>
    <t>UI</t>
  </si>
  <si>
    <t>UI_TINRAO_001</t>
  </si>
  <si>
    <t>Màn danh sách tin rao vặt</t>
  </si>
  <si>
    <t>Kiểm tra giao diện danh sách tin rao vặt hiển thị đúng bố cục</t>
  </si>
  <si>
    <t>Có dữ liệu tin rao</t>
  </si>
  <si>
    <t>1. Truy cập màn Tin rao vặt
2. Quan sát giao diện danh sách</t>
  </si>
  <si>
    <t>Danh sách nhiều tin rao</t>
  </si>
  <si>
    <t>Hiển thị tiêu đề khu vực, các tin dạng card theo lưới, card không bị lệch/vỡ layout</t>
  </si>
  <si>
    <t>Pass</t>
  </si>
  <si>
    <t>TBD</t>
  </si>
  <si>
    <t>Happy case</t>
  </si>
  <si>
    <t>UI_TINRAO_002</t>
  </si>
  <si>
    <t>Card tin rao</t>
  </si>
  <si>
    <t>Kiểm tra thông tin hiển thị trên card tin rao</t>
  </si>
  <si>
    <t>1. Quan sát từng card tin
2. Kiểm tra các thông tin hiển thị</t>
  </si>
  <si>
    <t>Tin có ảnh, tiêu đề, mô tả, diện tích, giá</t>
  </si>
  <si>
    <t>Card hiển thị đầy đủ ảnh, tiêu đề, mô tả ngắn, diện tích, giá/m², icon lưu</t>
  </si>
  <si>
    <t>UI_TINRAO_003</t>
  </si>
  <si>
    <t>Kiểm tra toàn bộ card có trạng thái có thể click</t>
  </si>
  <si>
    <t>1. Di chuột vào ảnh, tiêu đề, mô tả, giá, diện tích trên card
2. Quan sát trạng thái hover</t>
  </si>
  <si>
    <t>Card bất kỳ</t>
  </si>
  <si>
    <t>Toàn bộ vùng card thể hiện là có thể click; cursor/hover thống nhất, không gây hiểu nhầm vùng click</t>
  </si>
  <si>
    <t>Đã xác nhận: click vùng nào cũng mở chi tiết</t>
  </si>
  <si>
    <t>UI_TINRAO_004</t>
  </si>
  <si>
    <t>Kiểm tra tiêu đề/mô tả dài không làm vỡ giao diện card</t>
  </si>
  <si>
    <t>Có tin rao tiêu đề hoặc mô tả dài</t>
  </si>
  <si>
    <t>1. Truy cập danh sách
2. Quan sát card có nội dung dài</t>
  </si>
  <si>
    <t>Tiêu đề dài nhiều ký tự</t>
  </si>
  <si>
    <t>Nội dung được xuống dòng hoặc giới hạn dòng hợp lý; không tràn khỏi card; không đè lên giá/diện tích</t>
  </si>
  <si>
    <t>Chưa test</t>
  </si>
  <si>
    <t>Expectation case</t>
  </si>
  <si>
    <t>Lúc nào thấy mô tả dài xem n hiển thị sao</t>
  </si>
  <si>
    <t>UI_TINRAO_005</t>
  </si>
  <si>
    <t>Phân trang</t>
  </si>
  <si>
    <t>Kiểm tra giao diện phân trang</t>
  </si>
  <si>
    <t>Danh sách có nhiều trang</t>
  </si>
  <si>
    <t>1. Cuộn xuống cuối danh sách
2. Quan sát phân trang</t>
  </si>
  <si>
    <t>Trang 1, 2, …, 348, Sau, Trước</t>
  </si>
  <si>
    <t>Trang hiện tại được highlight; nút “Trước” disable tại trang đầu; nút “Sau” hiển thị rõ</t>
  </si>
  <si>
    <t>UI_TINRAO_006</t>
  </si>
  <si>
    <t>Phân trang danh sách tin rao</t>
  </si>
  <si>
    <t>Kiểm tra mặc định mỗi trang hiển thị tối đa 6 tin rao</t>
  </si>
  <si>
    <t>Hệ thống có từ 7 tin rao trở lên</t>
  </si>
  <si>
    <t>1. Truy cập màn Tin rao vặt
2. Quan sát số lượng card tin rao trên trang đầu tiên</t>
  </si>
  <si>
    <t>Danh sách &gt; 6 tin</t>
  </si>
  <si>
    <r>
      <t xml:space="preserve">Màn hình mặc định hiển thị đúng </t>
    </r>
    <r>
      <rPr>
        <b/>
        <sz val="11"/>
        <color theme="1"/>
        <rFont val="Aptos Narrow"/>
        <family val="2"/>
        <scheme val="minor"/>
      </rPr>
      <t>6 tin rao / 1 trang</t>
    </r>
    <r>
      <rPr>
        <sz val="11"/>
        <color theme="1"/>
        <rFont val="Aptos Narrow"/>
        <family val="2"/>
        <scheme val="minor"/>
      </rPr>
      <t>; không hiển thị thừa quá 6 tin</t>
    </r>
  </si>
  <si>
    <t>UI_TINRAO_007</t>
  </si>
  <si>
    <t>Kiểm tra bố cục 6 tin trên 1 trang hiển thị đúng layout</t>
  </si>
  <si>
    <t>Hệ thống có từ 6 tin rao trở lên</t>
  </si>
  <si>
    <t>1. Truy cập màn Tin rao vặt
2. Quan sát bố cục danh sách tin</t>
  </si>
  <si>
    <t>6 tin rao trên trang</t>
  </si>
  <si>
    <t>6 tin hiển thị theo dạng lưới, mỗi hàng 3 tin như ảnh; khoảng cách giữa các card đồng đều; không bị lệch/vỡ layout</t>
  </si>
  <si>
    <t>UI_TINRAO_008</t>
  </si>
  <si>
    <t>Kiểm tra UI phân trang hiển thị khi tổng số tin lớn hơn 6</t>
  </si>
  <si>
    <t>Hệ thống có nhiều hơn 6 tin rao</t>
  </si>
  <si>
    <t>1. Truy cập màn Tin rao vặt
2. Cuộn xuống cuối danh sách
3. Quan sát khu vực phân trang</t>
  </si>
  <si>
    <t>Tổng số tin &gt; 6</t>
  </si>
  <si>
    <t>Khu vực phân trang hiển thị ở cuối danh sách; có nút “Trước”, số trang, dấu “…”, trang cuối và nút “Sau”</t>
  </si>
  <si>
    <t>UI_TINRAO_009</t>
  </si>
  <si>
    <t>Kiểm tra UI phân trang khi tổng số tin nhỏ hơn hoặc bằng 6</t>
  </si>
  <si>
    <t>Hệ thống có tối đa 6 tin rao</t>
  </si>
  <si>
    <t>1. Truy cập màn Tin rao vặt
2. Quan sát danh sách và khu vực cuối trang</t>
  </si>
  <si>
    <t>Tổng số tin ≤ 6</t>
  </si>
  <si>
    <t>Hiển thị tối đa 6 tin; phân trang nên được ẩn hoặc chỉ hiển thị trang 1 theo thiết kế; không hiển thị nút phân trang dư thừa gây nhầm lẫn</t>
  </si>
  <si>
    <t>Expectation case - cần xác nhận thiết kế ẩn hay hiện phân trang</t>
  </si>
  <si>
    <t>UI_TINRAO_010</t>
  </si>
  <si>
    <t>Kiểm tra trạng thái trang hiện tại</t>
  </si>
  <si>
    <t>Đang ở trang đầu tiên</t>
  </si>
  <si>
    <t>1. Truy cập màn Tin rao vặt
2. Quan sát phân trang</t>
  </si>
  <si>
    <t>Trang 1</t>
  </si>
  <si>
    <t>Số trang hiện tại được highlight nổi bật,người dùng nhận biết đang ở trang nào</t>
  </si>
  <si>
    <t>UI_TINRAO_011</t>
  </si>
  <si>
    <t>Kiểm tra trạng thái nút “Trước” ở trang đầu tiên</t>
  </si>
  <si>
    <t>Đang ở trang 1</t>
  </si>
  <si>
    <t>1. Truy cập màn Tin rao vặt
2. Quan sát nút “Trước”</t>
  </si>
  <si>
    <t>Nút “Trước” hiển thị trạng thái disabled/mờ; không gây hiểu nhầm là có thể quay về trang trước</t>
  </si>
  <si>
    <t>UI_TINRAO_012</t>
  </si>
  <si>
    <t>Kiểm tra trạng thái nút “Sau” ở trang đầu tiên</t>
  </si>
  <si>
    <t>1. Truy cập màn Tin rao vặt
2. Quan sát nút “Sau”</t>
  </si>
  <si>
    <t>Trang 1, tổng số trang &gt; 1</t>
  </si>
  <si>
    <t>Nút “Sau” : Enable</t>
  </si>
  <si>
    <t>UI_TINRAO_013</t>
  </si>
  <si>
    <t>Kiểm tra UI sau khi chuyển sang trang 2</t>
  </si>
  <si>
    <t>1. Truy cập màn Tin rao vặt
2. Click nút “Sau” hoặc số trang 2
3. Quan sát danh sách và phân trang</t>
  </si>
  <si>
    <t>Trang 2</t>
  </si>
  <si>
    <t>Trang 2 được highlight; danh sách vẫn hiển thị tối đa 6 tin; layout card không bị thay đổi bất thường</t>
  </si>
  <si>
    <t>UI_TINRAO_014</t>
  </si>
  <si>
    <t>Kiểm tra click số trang bất kỳ trên phân trang</t>
  </si>
  <si>
    <t>Hệ thống có nhiều trang</t>
  </si>
  <si>
    <t>1. Truy cập màn Tin rao vặt
2. Click số trang 2 hoặc trang cuối
3. Quan sát UI phân trang</t>
  </si>
  <si>
    <t>Trang 2, trang 348</t>
  </si>
  <si>
    <t>Số trang được chọn chuyển sang trạng thái active; các nút phân trang vẫn căn giữa, không bị nhảy layout</t>
  </si>
  <si>
    <t>UI_TINRAO_015</t>
  </si>
  <si>
    <t>Kiểm tra UI dấu “…” khi có nhiều trang</t>
  </si>
  <si>
    <t>Hệ thống có nhiều trang, ví dụ 348 trang</t>
  </si>
  <si>
    <t>1. Truy cập màn Tin rao vặt2. Quan sát khu vực phân trang</t>
  </si>
  <si>
    <t>Trang 1, 2, …, 348</t>
  </si>
  <si>
    <t>Dấu “…” hiển thị hợp lý giữa các nhóm trang; không chiếm quá nhiều không gian; người dùng vẫn nhìn được trang đầu, trang gần hiện tại và trang cuối</t>
  </si>
  <si>
    <t>UI_TINRAO_016</t>
  </si>
  <si>
    <t>Kiểm tra UI trang cuối khi số tin không chia hết cho 6</t>
  </si>
  <si>
    <t>Tổng số tin không chia hết cho 6</t>
  </si>
  <si>
    <t>1. Truy cập danh sách
2. Click đến trang cuối
3. Quan sát số lượng card</t>
  </si>
  <si>
    <t>Ví dụ tổng 20 tin → trang cuối có 2 tin</t>
  </si>
  <si>
    <t>Trang cuối hiển thị số tin còn lại nhỏ hơn 6; các card vẫn căn chỉnh đẹp; không xuất hiện card trắng hoặc khoảng trống gây lỗi layout</t>
  </si>
  <si>
    <t>UI_TINRAO_017</t>
  </si>
  <si>
    <t>Kiểm tra trạng thái nút “Sau” ở trang cuối</t>
  </si>
  <si>
    <t>Đang ở trang cuối</t>
  </si>
  <si>
    <t>1. Truy cập trang cuối danh sách
2. Quan sát nút “Sau”</t>
  </si>
  <si>
    <t>Trang cuối, ví dụ 348</t>
  </si>
  <si>
    <t>Nút “Sau” hiển thị trạng thái disabled/mờ; không gây hiểu nhầm là còn trang tiếp theo</t>
  </si>
  <si>
    <t>UI_TINRAO_018</t>
  </si>
  <si>
    <t>Kiểm tra trạng thái nút “Trước” khi không ở trang đầu</t>
  </si>
  <si>
    <t>Đang ở trang 2 trở đi</t>
  </si>
  <si>
    <t>1. Chuyển sang trang 2
2. Quan sát nút “Trước”</t>
  </si>
  <si>
    <t>Nút “Trước” : Enable</t>
  </si>
  <si>
    <t>UI_TINRAO_019</t>
  </si>
  <si>
    <t>Kiểm tra vị trí phân trang sau khi danh sách có đúng 6 tin</t>
  </si>
  <si>
    <t>Hệ thống có đúng 6 tin trên trang hiện tại</t>
  </si>
  <si>
    <t>1. Truy cập màn danh sách
2. Quan sát cuối danh sách</t>
  </si>
  <si>
    <t>6 tin/trang</t>
  </si>
  <si>
    <t>K hiển thị PHÂN TRANG</t>
  </si>
  <si>
    <t>UI_TINRAO_020</t>
  </si>
  <si>
    <t>Kiểm tra responsive phân trang trên mobile/tablet</t>
  </si>
  <si>
    <t>Có nhiều hơn 6 tin rao</t>
  </si>
  <si>
    <t>1. Mở màn Tin rao vặt2. Chuyển viewport sang tablet/mobile3. Quan sát phân trang</t>
  </si>
  <si>
    <t>375px, 768px</t>
  </si>
  <si>
    <t>Phân trang không bị tràn ngang; các nút đủ lớn để bấm; số trang/dấu “…” hiển thị gọn, dễ thao tác</t>
  </si>
  <si>
    <t>UI_TINRAO_021</t>
  </si>
  <si>
    <t>Kiểm tra UI loading khi chuyển trang</t>
  </si>
  <si>
    <t>Có nhiều hơn 6 tin rao, mạng chậm hoặc mô phỏng loading</t>
  </si>
  <si>
    <t>1. Truy cập danh sách
2. Click “Sau” hoặc số trang
3. Quan sát trạng thái trong lúc tải</t>
  </si>
  <si>
    <t>Chuyển từ trang 1 sang trang 2</t>
  </si>
  <si>
    <t>Có trạng thái loading/skeleton/spinner phù hợp nếu dữ liệu chưa tải xong; không hiển thị lẫn dữ liệu cũ và mới gây nhầm lẫn</t>
  </si>
  <si>
    <t>UI_TINRAO_022</t>
  </si>
  <si>
    <t>Kiểm tra UI khi tổng số trang ít</t>
  </si>
  <si>
    <t>Hệ thống có dữ liệu chỉ 1–2 trang</t>
  </si>
  <si>
    <t>1. Truy cập danh sách có ít trang
2. Quan sát phân trang</t>
  </si>
  <si>
    <t>Tổng 1 trang hoặc 2 trang</t>
  </si>
  <si>
    <t>Nếu chỉ có 1 trang, phân trang  ẩn nếu có 2 trang, không hiển thị dấu “…” thừa</t>
  </si>
  <si>
    <t>UI_TINRAO_023</t>
  </si>
  <si>
    <t>Màn chi tiết bất động sản</t>
  </si>
  <si>
    <t>Kiểm tra giao diện chi tiết sau khi click card</t>
  </si>
  <si>
    <t>Có ít nhất 1 tin rao</t>
  </si>
  <si>
    <t>1. Click vào card bất kỳ
2. Quan sát màn chi tiết</t>
  </si>
  <si>
    <t>Tin rao bất kỳ</t>
  </si>
  <si>
    <t>Hiển thị tiêu đề “Chi tiết bất động sản”, khối “Tổng quan bất động sản”, thông tin không bị vỡ layout</t>
  </si>
  <si>
    <t>UI_TINRAO_024</t>
  </si>
  <si>
    <t>Tổng quan BĐS - user đã đăng nhập</t>
  </si>
  <si>
    <t>Kiểm tra UI hiển thị SĐT và Nguồn khi user đã đăng nhập</t>
  </si>
  <si>
    <t>User đã đăng nhập</t>
  </si>
  <si>
    <t>1. Đăng nhập hệ thống
2. Mở chi tiết tin rao
3. Quan sát mục Tổng quan/Thông tin chi tiết</t>
  </si>
  <si>
    <t>User hợp lệ</t>
  </si>
  <si>
    <t>Số điện thoại và Nguồn hiển thị đầy đủ như ảnh; không bị che/mask; layout rõ ràng</t>
  </si>
  <si>
    <t>UI_TINRAO_025</t>
  </si>
  <si>
    <t>Tổng quan BĐS - user chưa đăng nhập</t>
  </si>
  <si>
    <t>Kiểm tra UI ẩn/mask SĐT và Nguồn khi user chưa đăng nhập</t>
  </si>
  <si>
    <t>User chưa đăng nhập</t>
  </si>
  <si>
    <t>1. Mở chi tiết tin rao
2. Quan sát SĐT và Nguồn</t>
  </si>
  <si>
    <t>User anonymous</t>
  </si>
  <si>
    <t>SĐT và Nguồn bị ẩn/mask bằng icon con mắt; không hiển thị thông tin thật</t>
  </si>
  <si>
    <t>Đã xác nhận</t>
  </si>
  <si>
    <t>UI_TINRAO_026</t>
  </si>
  <si>
    <t>Icon con mắt</t>
  </si>
  <si>
    <t>Kiểm tra icon con mắt hiển thị dễ hiểu với thông tin bị ẩn</t>
  </si>
  <si>
    <t>1. Mở chi tiết tin rao2. Quan sát icon con mắt tại SĐT/Nguồn</t>
  </si>
  <si>
    <t>SĐT/Nguồn bị ẩn</t>
  </si>
  <si>
    <t>Icon con mắt hiển thị rõ, đúng vị trí, người dùng hiểu có thể bấm để xem thêm</t>
  </si>
  <si>
    <t>UI_TINRAO_027</t>
  </si>
  <si>
    <t>Responsive</t>
  </si>
  <si>
    <t>Kiểm tra giao diện danh sách và chi tiết trên màn hình nhỏ</t>
  </si>
  <si>
    <t>Có thiết bị mobile/tablet hoặc devtools</t>
  </si>
  <si>
    <t>1. Mở danh sách/chi tiết2. Chuyển viewport mobile/tablet3. Quan sát layout</t>
  </si>
  <si>
    <t>375px, 768px, 1366px</t>
  </si>
  <si>
    <t>Không có scroll ngang; card và thông tin chi tiết tự co giãn; icon con mắt, Lưu, Quay lại vẫn thao tác được</t>
  </si>
  <si>
    <t>FUNC</t>
  </si>
  <si>
    <t>FUNC_TINRAO_001</t>
  </si>
  <si>
    <t>Danh sách tin rao vặt</t>
  </si>
  <si>
    <t>Kiểm tra load danh sách tin rao thành công</t>
  </si>
  <si>
    <t>Hệ thống có dữ liệu tin rao</t>
  </si>
  <si>
    <t>1. Truy cập màn Tin rao vặt
2. Chờ dữ liệu tải xong</t>
  </si>
  <si>
    <t>Danh sách tin rao</t>
  </si>
  <si>
    <t>Danh sách tin rao hiển thị thành công; không báo lỗi; mỗi tin có dữ liệu cơ bản</t>
  </si>
  <si>
    <t>FUNC_TINRAO_002</t>
  </si>
  <si>
    <t>Kiểm tra trường hợp không có dữ liệu</t>
  </si>
  <si>
    <t>API trả danh sách rỗng hoặc không có tin phù hợp</t>
  </si>
  <si>
    <t>1. Truy cập danh sách2. Mô phỏng dữ liệu rỗng</t>
  </si>
  <si>
    <t>[]</t>
  </si>
  <si>
    <t>Hệ thống hiển thị " image và text nội dung " Không tìm thấy tin rao vặt nào phù hợp"; không hiển thị card lỗi hoặc màn trắng</t>
  </si>
  <si>
    <t>FUNC_TINRAO_003</t>
  </si>
  <si>
    <t>Click card tin rao</t>
  </si>
  <si>
    <t>Kiểm tra click vào ảnh trên card mở chi tiết</t>
  </si>
  <si>
    <t>1. Truy cập danh sách2. Click vào ảnh của card</t>
  </si>
  <si>
    <t>Hệ thống điều hướng sang màn chi tiết đúng tin đã chọn</t>
  </si>
  <si>
    <t>FUNC_TINRAO_004</t>
  </si>
  <si>
    <t>Kiểm tra click vào tiêu đề trên card mở chi tiết</t>
  </si>
  <si>
    <t>1. Truy cập danh sách
2. Click vào tiêu đề card</t>
  </si>
  <si>
    <t>FUNC_TINRAO_007</t>
  </si>
  <si>
    <t>Dữ liệu chi tiết</t>
  </si>
  <si>
    <t>Kiểm tra dữ liệu chi tiết khớp với card đã click</t>
  </si>
  <si>
    <t>Có tin rao trên danh sách</t>
  </si>
  <si>
    <t>1. Ghi nhận tiêu đề, giá, diện tích trên card
2. Click card
3. So sánh thông tin ở chi tiết</t>
  </si>
  <si>
    <t>Tin giá 25 triệu, diện tích 100m²</t>
  </si>
  <si>
    <t>Tiêu đề, giá, diện tích, ảnh chính ở chi tiết khớp với card đã chọn</t>
  </si>
  <si>
    <t>FUNC_TINRAO_008</t>
  </si>
  <si>
    <t>Chi tiết BĐS - user đã đăng nhập</t>
  </si>
  <si>
    <t>Kiểm tra user đã đăng nhập xem đầy đủ thông tin chi tiết</t>
  </si>
  <si>
    <t>1. Đăng nhập
2. Mở chi tiết tin rao
3. Kiểm tra SĐT và Nguồn</t>
  </si>
  <si>
    <t>SĐT và Nguồn hiển thị đầy đủ; không bị che; các thông tin khác hiển thị như ảnh</t>
  </si>
  <si>
    <t>FUNC_TINRAO_009</t>
  </si>
  <si>
    <t>Chi tiết BĐS - user chưa đăng nhập</t>
  </si>
  <si>
    <t>Kiểm tra user chưa đăng nhập bị ẩn SĐT và Nguồn</t>
  </si>
  <si>
    <t>1. Mở chi tiết tin rao2. Kiểm tra SĐT và Nguồn</t>
  </si>
  <si>
    <t>SĐT và Nguồn không hiển thị trực tiếp; thay bằng icon con mắt hoặc trạng thái bị ẩn</t>
  </si>
  <si>
    <t>FUNC_TINRAO_010</t>
  </si>
  <si>
    <t>Xem SĐT khi chưa đăng nhập</t>
  </si>
  <si>
    <t>Kiểm tra user chưa đăng nhập bấm xem SĐT bị điều hướng đăng nhập</t>
  </si>
  <si>
    <t>1. Mở chi tiết tin rao2. Click icon con mắt tại SĐT</t>
  </si>
  <si>
    <t>SĐT bị ẩn</t>
  </si>
  <si>
    <t>Hệ thống điều hướng đến màn Đăng nhập; không hiển thị SĐT trước khi đăng nhập</t>
  </si>
  <si>
    <t>FUNC_TINRAO_011</t>
  </si>
  <si>
    <t>Xem Nguồn khi chưa đăng nhập</t>
  </si>
  <si>
    <t>Kiểm tra user chưa đăng nhập bấm xem Nguồn bị điều hướng đăng nhập</t>
  </si>
  <si>
    <t>1. Mở chi tiết tin rao2. Click icon con mắt tại Nguồn</t>
  </si>
  <si>
    <t>Nguồn bị ẩn</t>
  </si>
  <si>
    <t>Hệ thống điều hướng đến màn Đăng nhập; không hiển thị Nguồn trước khi đăng nhập</t>
  </si>
  <si>
    <t>FUNC_TINRAO_012</t>
  </si>
  <si>
    <t>Lưu tin khi chưa đăng nhập</t>
  </si>
  <si>
    <t>Kiểm tra user chưa đăng nhập bấm Lưu tin bị điều hướng đăng nhập</t>
  </si>
  <si>
    <t>1. Mở danh sách hoặc chi tiết tin rao2. Click nút/icon Lưu tin</t>
  </si>
  <si>
    <t>Hệ thống điều hướng đến màn Đăng nhập; tin chưa được lưu</t>
  </si>
  <si>
    <t>FUNC_TINRAO_013</t>
  </si>
  <si>
    <t>Lưu tin khi đã đăng nhập</t>
  </si>
  <si>
    <t>Kiểm tra user đã đăng nhập lưu tin thành công</t>
  </si>
  <si>
    <t>1. Đăng nhập2. Mở danh sách hoặc chi tiết3. Click Lưu tin</t>
  </si>
  <si>
    <t>User hợp lệ, tin rao bất kỳ</t>
  </si>
  <si>
    <t>Tin được lưu thành công; trạng thái icon Lưu thay đổi; nếu có thông báo thì hiển thị thông báo thành công</t>
  </si>
  <si>
    <t>Fail</t>
  </si>
  <si>
    <t>FUNC_TINRAO_014</t>
  </si>
  <si>
    <t>Bỏ lưu tin</t>
  </si>
  <si>
    <t>Kiểm tra user đã đăng nhập bỏ lưu tin đã lưu</t>
  </si>
  <si>
    <t>User đã đăng nhập, tin đã được lưu</t>
  </si>
  <si>
    <t>1. Mở tin đã lưu2. Click lại icon/nút Lưu</t>
  </si>
  <si>
    <t>Tin đã lưu</t>
  </si>
  <si>
    <t>Tin được bỏ lưu; trạng thái icon cập nhật lại; dữ liệu lưu được cập nhật đúng</t>
  </si>
  <si>
    <t>FUNC_TINRAO_015</t>
  </si>
  <si>
    <t>Quay lại</t>
  </si>
  <si>
    <t>Kiểm tra nút Quay lại từ chi tiết về danh sách</t>
  </si>
  <si>
    <t>Đã mở chi tiết từ danh sách</t>
  </si>
  <si>
    <t>1. Click card bất kỳ từ danh sách2. Tại chi tiết, click Quay lại</t>
  </si>
  <si>
    <t>Hệ thống quay về màn danh sách; không mất trạng thái trang hiện tại nếu có phân trang</t>
  </si>
  <si>
    <t>FUNC_TINRAO_016</t>
  </si>
  <si>
    <t>Kiểm tra chuyển sang trang tiếp theo</t>
  </si>
  <si>
    <t>1. Ở trang 1, click “Sau”2. Quan sát dữ liệu</t>
  </si>
  <si>
    <t>Trang 1 → Trang 2</t>
  </si>
  <si>
    <t>Danh sách tải dữ liệu trang 2; trang active đổi sang 2</t>
  </si>
  <si>
    <t>FUNC_TINRAO_017</t>
  </si>
  <si>
    <t>Kiểm tra nút “Trước” tại trang đầu</t>
  </si>
  <si>
    <t>1. Truy cập trang 12. Click hoặc quan sát nút “Trước”</t>
  </si>
  <si>
    <t>Nút “Trước” bị disable hoặc không thực hiện hành động; không gọi page âm</t>
  </si>
  <si>
    <t>FUNC_TINRAO_018</t>
  </si>
  <si>
    <t>Chi tiết tin không tồn tại</t>
  </si>
  <si>
    <t>Kiểm tra mở URL chi tiết với tin không tồn tại</t>
  </si>
  <si>
    <t>Có URL/ID không tồn tại</t>
  </si>
  <si>
    <t>1. Nhập URL chi tiết với ID sai2. Truy cập</t>
  </si>
  <si>
    <t>ID không tồn tại</t>
  </si>
  <si>
    <t>Hiển thị thông báo không tìm thấy tin hoặc trang lỗi thân thiện; không trắng màn</t>
  </si>
  <si>
    <t>FUNC_TINRAO_019</t>
  </si>
  <si>
    <t>Lỗi tải dữ liệu</t>
  </si>
  <si>
    <t>Kiểm tra khi API danh sách/chi tiết lỗi</t>
  </si>
  <si>
    <t>Có thể mô phỏng lỗi server/network</t>
  </si>
  <si>
    <t>1. Truy cập danh sách hoặc chi tiết2. Mô phỏng lỗi 500/timeout</t>
  </si>
  <si>
    <t>API lỗi</t>
  </si>
  <si>
    <t>Hiển thị thông báo lỗi không hiển thị dữ liệu sai; không crash trang</t>
  </si>
  <si>
    <t>SECURITY</t>
  </si>
  <si>
    <t>SEC_TINRAO_001</t>
  </si>
  <si>
    <t>Hiển thị tiêu đề tin rao</t>
  </si>
  <si>
    <t>Kiểm tra chống XSS ở tiêu đề tin rao</t>
  </si>
  <si>
    <t>Có thể tạo/sửa/mock dữ liệu tin rao</t>
  </si>
  <si>
    <t>1. Inject script vào tiêu đề tin2. Mở danh sách và chi tiết</t>
  </si>
  <si>
    <t>&lt;script&gt;alert(1)&lt;/script&gt;</t>
  </si>
  <si>
    <t>Script không được thực thi; nội dung được escape/sanitize; UI không bị phá vỡ</t>
  </si>
  <si>
    <t>Security expectation</t>
  </si>
  <si>
    <t>SEC_TINRAO_002</t>
  </si>
  <si>
    <t>Hiển thị mô tả tin rao</t>
  </si>
  <si>
    <t>Kiểm tra chống XSS ở mô tả tin rao</t>
  </si>
  <si>
    <t>Có thể tạo/sửa/mock dữ liệu mô tả</t>
  </si>
  <si>
    <t>1. Inject payload vào mô tả2. Mở danh sách/chi tiết</t>
  </si>
  <si>
    <t>&lt;img src=x onerror=alert(1)&gt;</t>
  </si>
  <si>
    <t>JavaScript không được thực thi; dữ liệu được hiển thị an toàn</t>
  </si>
  <si>
    <t>SEC_TINRAO_003</t>
  </si>
  <si>
    <t>Hiển thị địa chỉ/người đăng</t>
  </si>
  <si>
    <t>Kiểm tra chống XSS ở địa chỉ, tên người đăng</t>
  </si>
  <si>
    <t>Có thể mock dữ liệu chi tiết</t>
  </si>
  <si>
    <t>1. Inject payload vào địa chỉ/tên người đăng2. Mở chi tiết</t>
  </si>
  <si>
    <t>"&gt;&lt;script&gt;alert(1)&lt;/script&gt;</t>
  </si>
  <si>
    <t>Payload không thực thi; không làm thay đổi DOM ngoài ý muốn</t>
  </si>
  <si>
    <t>SEC_TINRAO_004</t>
  </si>
  <si>
    <t>Bảo vệ SĐT - user chưa đăng nhập</t>
  </si>
  <si>
    <t>Kiểm tra user chưa đăng nhập không xem được SĐT thật trên UI</t>
  </si>
  <si>
    <t>1. Mở chi tiết tin rao2. Quan sát UI SĐT3. Inspect HTML nếu cần</t>
  </si>
  <si>
    <t>Tin có SĐT thật</t>
  </si>
  <si>
    <t>SĐT thật không hiển thị trên UI; chỉ hiển thị trạng thái mask/icon con mắt</t>
  </si>
  <si>
    <t>SEC_TINRAO_005</t>
  </si>
  <si>
    <t>Bảo vệ Nguồn - user chưa đăng nhập</t>
  </si>
  <si>
    <t>Kiểm tra user chưa đăng nhập không xem được Nguồn thật trên UI</t>
  </si>
  <si>
    <t>1. Mở chi tiết tin rao2. Quan sát trường Nguồn3. Inspect HTML nếu cần</t>
  </si>
  <si>
    <t>Tin có Nguồn</t>
  </si>
  <si>
    <t>Nguồn thật không hiển thị trên UI; chỉ hiển thị trạng thái mask/icon con mắt</t>
  </si>
  <si>
    <t>SEC_TINRAO_006</t>
  </si>
  <si>
    <t>Bảo vệ SĐT/Nguồn ở response</t>
  </si>
  <si>
    <t>Kiểm tra API chi tiết không trả SĐT/Nguồn thật cho user chưa đăng nhập</t>
  </si>
  <si>
    <t>User chưa đăng nhập, có thể xem network</t>
  </si>
  <si>
    <t>1. Mở DevTools Network2. Truy cập chi tiết tin3. Kiểm tra response API</t>
  </si>
  <si>
    <t>Response không chứa SĐT/Nguồn thật nếu nghiệp vụ yêu cầu che hoàn toàn; không chỉ che ở frontend</t>
  </si>
  <si>
    <t>SEC_TINRAO_007</t>
  </si>
  <si>
    <t>Click xem SĐT khi chưa đăng nhập</t>
  </si>
  <si>
    <t>Kiểm tra không bypass được luồng login khi bấm xem SĐT</t>
  </si>
  <si>
    <t>1. Mở chi tiết tin2. Click icon con mắt tại SĐT3. Quan sát URL/response</t>
  </si>
  <si>
    <t>Điều hướng đến Đăng nhập; không trả về SĐT qua API hoặc UI trước khi đăng nhập</t>
  </si>
  <si>
    <t>SEC_TINRAO_008</t>
  </si>
  <si>
    <t>Click xem Nguồn khi chưa đăng nhập</t>
  </si>
  <si>
    <t>Kiểm tra không bypass được luồng login khi bấm xem Nguồn</t>
  </si>
  <si>
    <t>1. Mở chi tiết tin2. Click icon con mắt tại Nguồn3. Quan sát URL/response</t>
  </si>
  <si>
    <t>Điều hướng đến Đăng nhập; không trả về Nguồn qua API hoặc UI trước khi đăng nhập</t>
  </si>
  <si>
    <t>SEC_TINRAO_009</t>
  </si>
  <si>
    <t>Kiểm tra không thể lưu tin trái phép khi chưa đăng nhập</t>
  </si>
  <si>
    <t>1. Mở chi tiết/danh sách2. Click Lưu tin3. Kiểm tra network/request</t>
  </si>
  <si>
    <t>Điều hướng đến Đăng nhập; không tạo bản ghi lưu tin; request lưu bị chặn nếu chưa xác thực</t>
  </si>
  <si>
    <t>SEC_TINRAO_010</t>
  </si>
  <si>
    <t>Kiểm tra user không thể lưu tin thay user khác</t>
  </si>
  <si>
    <t>Có 2 tài khoản user</t>
  </si>
  <si>
    <t>1. Đăng nhập user A2. Gửi request lưu tin có sửa userId thành user B nếu API cho truyền3. Kiểm tra dữ liệu</t>
  </si>
  <si>
    <t>user A, user B</t>
  </si>
  <si>
    <t>Hệ thống chỉ dùng user từ session/token; không cho client tự chỉ định userId</t>
  </si>
  <si>
    <t>SEC_TINRAO_011</t>
  </si>
  <si>
    <t>CSRF lưu tin</t>
  </si>
  <si>
    <t>Kiểm tra request Lưu/Bỏ lưu có chống CSRF nếu dùng cookie session</t>
  </si>
  <si>
    <t>1. Gửi request lưu tin thiếu CSRF token hoặc sai token2. Kiểm tra kết quả</t>
  </si>
  <si>
    <t>Token rỗng/sai</t>
  </si>
  <si>
    <t>Server từ chối request; trạng thái lưu tin không thay đổi</t>
  </si>
  <si>
    <t>SEC_TINRAO_012</t>
  </si>
  <si>
    <t>URL chi tiết</t>
  </si>
  <si>
    <t>Kiểm tra sửa ID tin rao trên URL</t>
  </si>
  <si>
    <t>Có URL chi tiết tin rao</t>
  </si>
  <si>
    <t>1. Thay đổi ID/slug trên URL2. Truy cập ID hợp lệ, không tồn tại, định dạng sai</t>
  </si>
  <si>
    <r>
      <t>id=-1</t>
    </r>
    <r>
      <rPr>
        <sz val="11"/>
        <color rgb="FF000000"/>
        <rFont val="Aptos Narrow"/>
        <family val="2"/>
      </rPr>
      <t xml:space="preserve">, </t>
    </r>
    <r>
      <rPr>
        <sz val="10"/>
        <color rgb="FF000000"/>
        <rFont val="Arial Unicode MS"/>
      </rPr>
      <t>id=abc</t>
    </r>
    <r>
      <rPr>
        <sz val="11"/>
        <color rgb="FF000000"/>
        <rFont val="Aptos Narrow"/>
        <family val="2"/>
      </rPr>
      <t>, ID không tồn tại</t>
    </r>
  </si>
  <si>
    <t>Không lộ dữ liệu không được phép; ID sai hiển thị lỗi thân thiện, không stack trace</t>
  </si>
  <si>
    <t>SEC_TINRAO_013</t>
  </si>
  <si>
    <t>Kiểm tra tham số page bất thường</t>
  </si>
  <si>
    <t>Danh sách có phân trang</t>
  </si>
  <si>
    <t>1. Sửa tham số page trên URL/request2. Gửi giá trị bất thường</t>
  </si>
  <si>
    <r>
      <t>page=-1</t>
    </r>
    <r>
      <rPr>
        <sz val="11"/>
        <color rgb="FF000000"/>
        <rFont val="Aptos Narrow"/>
        <family val="2"/>
      </rPr>
      <t xml:space="preserve">, </t>
    </r>
    <r>
      <rPr>
        <sz val="10"/>
        <color rgb="FF000000"/>
        <rFont val="Arial Unicode MS"/>
      </rPr>
      <t>page=999999999</t>
    </r>
    <r>
      <rPr>
        <sz val="11"/>
        <color rgb="FF000000"/>
        <rFont val="Aptos Narrow"/>
        <family val="2"/>
      </rPr>
      <t xml:space="preserve">, </t>
    </r>
    <r>
      <rPr>
        <sz val="10"/>
        <color rgb="FF000000"/>
        <rFont val="Arial Unicode MS"/>
      </rPr>
      <t>page=abc</t>
    </r>
  </si>
  <si>
    <t>Hệ thống validate tham số; không crash; không lộ lỗi server/query</t>
  </si>
  <si>
    <t>SEC_TINRAO_014</t>
  </si>
  <si>
    <t>API dữ liệu tin rao</t>
  </si>
  <si>
    <t>Kiểm tra response không lộ field nội bộ</t>
  </si>
  <si>
    <t>Có thể xem DevTools Network</t>
  </si>
  <si>
    <t>1. Mở danh sách/chi tiết2. Kiểm tra response API</t>
  </si>
  <si>
    <t>API list/detail</t>
  </si>
  <si>
    <t>Response không chứa token, quyền admin, dữ liệu nội bộ, thông tin user nhạy cảm không cần thiết</t>
  </si>
  <si>
    <t>SEC_TINRAO_015</t>
  </si>
  <si>
    <t>Link nguồn</t>
  </si>
  <si>
    <t>Kiểm tra an toàn link Nguồn với user đã đăng nhập</t>
  </si>
  <si>
    <t>User đã đăng nhập, tin có Nguồn</t>
  </si>
  <si>
    <t>1. Mở chi tiết2. Click Nguồn nếu là link3. Kiểm tra URL mở ra</t>
  </si>
  <si>
    <t>Nguồn hợp lệ</t>
  </si>
  <si>
    <r>
      <t xml:space="preserve">Chỉ cho mở URL hợp lệ http/https; không cho </t>
    </r>
    <r>
      <rPr>
        <sz val="10"/>
        <color rgb="FF000000"/>
        <rFont val="Arial Unicode MS"/>
      </rPr>
      <t>javascript:</t>
    </r>
    <r>
      <rPr>
        <sz val="11"/>
        <color rgb="FF000000"/>
        <rFont val="Aptos Narrow"/>
        <family val="2"/>
      </rPr>
      <t xml:space="preserve">; link ngoài nên có </t>
    </r>
    <r>
      <rPr>
        <sz val="10"/>
        <color rgb="FF000000"/>
        <rFont val="Arial Unicode MS"/>
      </rPr>
      <t>rel=noopener noreferrer</t>
    </r>
  </si>
  <si>
    <t>SEC_TINRAO_016</t>
  </si>
  <si>
    <t>Lỗi hệ thống</t>
  </si>
  <si>
    <t>Kiểm tra không lộ stack trace khi API lỗi</t>
  </si>
  <si>
    <t>Có thể mô phỏng API lỗi</t>
  </si>
  <si>
    <t>1. Mô phỏng API detail/list trả 5002. Quan sát UI và response</t>
  </si>
  <si>
    <t>API 500</t>
  </si>
  <si>
    <t>UI hiển thị lỗi chung; response không lộ stack trace, SQL query, path server, secret config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</si>
</sst>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name val="Times New Roman"/>
    </font>
    <font>
      <sz val="16"/>
      <name val="Times New Roman"/>
      <family val="1"/>
    </font>
    <font>
      <b/>
      <sz val="11"/>
      <name val="Times New Roman"/>
    </font>
    <font>
      <b/>
      <sz val="11"/>
      <color rgb="FFFF0000"/>
      <name val="Times New Roman"/>
    </font>
    <font>
      <b/>
      <sz val="11"/>
      <color rgb="FF333333"/>
      <name val="Times New Roman"/>
    </font>
    <font>
      <sz val="11"/>
      <name val="Times New Roman"/>
    </font>
    <font>
      <i/>
      <sz val="9"/>
      <name val="Times New Roman"/>
      <family val="1"/>
    </font>
    <font>
      <sz val="9"/>
      <name val="Times New Roman"/>
      <family val="1"/>
    </font>
    <font>
      <b/>
      <sz val="11"/>
      <color theme="1"/>
      <name val="Times New Roman"/>
    </font>
    <font>
      <i/>
      <sz val="9"/>
      <color theme="1"/>
      <name val="Times New Roman"/>
      <family val="1"/>
    </font>
    <font>
      <sz val="8"/>
      <name val="Aptos Narrow"/>
      <family val="2"/>
      <scheme val="minor"/>
    </font>
    <font>
      <sz val="10"/>
      <color theme="1"/>
      <name val="Arial Unicode MS"/>
    </font>
    <font>
      <sz val="11"/>
      <color rgb="FF000000"/>
      <name val="Aptos Narrow"/>
      <family val="2"/>
    </font>
    <font>
      <sz val="10"/>
      <color rgb="FF000000"/>
      <name val="Arial Unicode MS"/>
    </font>
  </fonts>
  <fills count="5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indexed="9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wrapText="1"/>
    </xf>
    <xf numFmtId="0" fontId="5" fillId="3" borderId="11" xfId="0" applyFont="1" applyFill="1" applyBorder="1" applyAlignment="1">
      <alignment vertical="center" wrapText="1"/>
    </xf>
    <xf numFmtId="0" fontId="6" fillId="0" borderId="12" xfId="0" applyFon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7" fillId="0" borderId="0" xfId="0" applyFont="1" applyAlignment="1">
      <alignment horizontal="right" vertical="center" wrapText="1"/>
    </xf>
    <xf numFmtId="0" fontId="5" fillId="3" borderId="0" xfId="0" applyFont="1" applyFill="1" applyAlignment="1">
      <alignment vertical="center" wrapText="1"/>
    </xf>
    <xf numFmtId="0" fontId="8" fillId="0" borderId="0" xfId="0" applyFont="1" applyAlignment="1">
      <alignment horizontal="center" vertical="center" wrapText="1"/>
    </xf>
    <xf numFmtId="0" fontId="5" fillId="2" borderId="12" xfId="0" applyFont="1" applyFill="1" applyBorder="1" applyAlignment="1">
      <alignment horizontal="center" vertical="center" wrapText="1"/>
    </xf>
    <xf numFmtId="0" fontId="11" fillId="2" borderId="12" xfId="0" applyFont="1" applyFill="1" applyBorder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4" fillId="0" borderId="0" xfId="0" applyFont="1" applyAlignment="1">
      <alignment vertical="center" wrapText="1"/>
    </xf>
    <xf numFmtId="0" fontId="2" fillId="4" borderId="2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3" fillId="3" borderId="2" xfId="0" applyFont="1" applyFill="1" applyBorder="1" applyAlignment="1">
      <alignment horizontal="left" vertical="center" wrapText="1"/>
    </xf>
    <xf numFmtId="0" fontId="3" fillId="3" borderId="3" xfId="0" applyFont="1" applyFill="1" applyBorder="1" applyAlignment="1">
      <alignment horizontal="left" vertical="center" wrapText="1"/>
    </xf>
    <xf numFmtId="0" fontId="3" fillId="3" borderId="4" xfId="0" applyFont="1" applyFill="1" applyBorder="1" applyAlignment="1">
      <alignment horizontal="left" vertical="center" wrapText="1"/>
    </xf>
    <xf numFmtId="0" fontId="3" fillId="3" borderId="0" xfId="0" applyFont="1" applyFill="1" applyAlignment="1">
      <alignment horizontal="left" vertical="center" wrapText="1"/>
    </xf>
    <xf numFmtId="0" fontId="3" fillId="3" borderId="5" xfId="0" applyFont="1" applyFill="1" applyBorder="1" applyAlignment="1">
      <alignment horizontal="left" vertical="center" wrapText="1"/>
    </xf>
    <xf numFmtId="0" fontId="3" fillId="3" borderId="6" xfId="0" applyFont="1" applyFill="1" applyBorder="1" applyAlignment="1">
      <alignment horizontal="left" vertical="center" wrapText="1"/>
    </xf>
    <xf numFmtId="0" fontId="3" fillId="3" borderId="7" xfId="0" applyFont="1" applyFill="1" applyBorder="1" applyAlignment="1">
      <alignment horizontal="left" vertical="center" wrapText="1"/>
    </xf>
    <xf numFmtId="0" fontId="3" fillId="3" borderId="8" xfId="0" applyFont="1" applyFill="1" applyBorder="1" applyAlignment="1">
      <alignment horizontal="left" vertical="center" wrapText="1"/>
    </xf>
    <xf numFmtId="0" fontId="5" fillId="3" borderId="9" xfId="0" applyFont="1" applyFill="1" applyBorder="1" applyAlignment="1">
      <alignment vertical="center" wrapText="1"/>
    </xf>
    <xf numFmtId="0" fontId="5" fillId="3" borderId="10" xfId="0" applyFont="1" applyFill="1" applyBorder="1" applyAlignment="1">
      <alignment vertical="center" wrapText="1"/>
    </xf>
    <xf numFmtId="0" fontId="5" fillId="3" borderId="11" xfId="0" applyFont="1" applyFill="1" applyBorder="1" applyAlignment="1">
      <alignment vertical="center" wrapText="1"/>
    </xf>
    <xf numFmtId="0" fontId="15" fillId="0" borderId="0" xfId="0" applyFont="1" applyFill="1" applyBorder="1" applyAlignment="1">
      <alignment wrapText="1"/>
    </xf>
    <xf numFmtId="0" fontId="16" fillId="0" borderId="0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1C54E-79D0-4C59-A204-4E48892E12E5}">
  <dimension ref="A1:L56"/>
  <sheetViews>
    <sheetView tabSelected="1" topLeftCell="A36" workbookViewId="0">
      <selection activeCell="A38" sqref="A38:XFD38"/>
    </sheetView>
  </sheetViews>
  <sheetFormatPr defaultRowHeight="14.25"/>
  <cols>
    <col min="1" max="1" width="18.42578125" customWidth="1"/>
    <col min="2" max="2" width="18" customWidth="1"/>
    <col min="3" max="3" width="20.85546875" customWidth="1"/>
    <col min="5" max="5" width="15.5703125" customWidth="1"/>
    <col min="6" max="6" width="19.7109375" customWidth="1"/>
    <col min="7" max="7" width="14.5703125" customWidth="1"/>
  </cols>
  <sheetData>
    <row r="1" spans="1:12">
      <c r="A1" s="13" t="s">
        <v>0</v>
      </c>
      <c r="B1" s="14"/>
      <c r="C1" s="14"/>
      <c r="D1" s="14"/>
      <c r="E1" s="15"/>
      <c r="F1" s="1"/>
      <c r="G1" s="1"/>
      <c r="H1" s="1"/>
      <c r="I1" s="1"/>
      <c r="J1" s="1"/>
      <c r="K1" s="1"/>
    </row>
    <row r="2" spans="1:12">
      <c r="A2" s="16"/>
      <c r="B2" s="17"/>
      <c r="C2" s="17"/>
      <c r="D2" s="17"/>
      <c r="E2" s="18"/>
      <c r="F2" s="1"/>
      <c r="G2" s="1"/>
      <c r="H2" s="1"/>
      <c r="I2" s="1"/>
      <c r="J2" s="1"/>
      <c r="K2" s="1"/>
    </row>
    <row r="3" spans="1:12">
      <c r="A3" s="19"/>
      <c r="B3" s="20"/>
      <c r="C3" s="20"/>
      <c r="D3" s="20"/>
      <c r="E3" s="21"/>
      <c r="F3" s="1"/>
      <c r="G3" s="1"/>
      <c r="H3" s="1"/>
      <c r="I3" s="1"/>
      <c r="J3" s="1"/>
      <c r="K3" s="1"/>
    </row>
    <row r="4" spans="1:12">
      <c r="A4" s="22" t="s">
        <v>1</v>
      </c>
      <c r="B4" s="23"/>
      <c r="C4" s="24"/>
      <c r="D4" s="2" t="s">
        <v>2</v>
      </c>
      <c r="E4" s="3">
        <f>COUNTIF(H12:H397,"PASS")</f>
        <v>34</v>
      </c>
      <c r="F4" s="4"/>
      <c r="G4" s="4"/>
      <c r="H4" s="4"/>
      <c r="I4" s="4"/>
      <c r="J4" s="4"/>
      <c r="K4" s="4"/>
    </row>
    <row r="5" spans="1:12">
      <c r="A5" s="22" t="s">
        <v>3</v>
      </c>
      <c r="B5" s="23"/>
      <c r="C5" s="24"/>
      <c r="D5" s="2"/>
      <c r="E5" s="3">
        <f>COUNTIF(H12:H397,"FAIL")</f>
        <v>2</v>
      </c>
      <c r="F5" s="4"/>
      <c r="G5" s="4"/>
      <c r="H5" s="4"/>
      <c r="I5" s="4"/>
      <c r="J5" s="4"/>
      <c r="K5" s="4"/>
    </row>
    <row r="6" spans="1:12">
      <c r="A6" s="22" t="s">
        <v>4</v>
      </c>
      <c r="B6" s="23"/>
      <c r="C6" s="24"/>
      <c r="D6" s="2"/>
      <c r="E6" s="3">
        <f>COUNTIF(H12:H397,"Pending")</f>
        <v>0</v>
      </c>
      <c r="G6" s="4"/>
      <c r="H6" s="4"/>
      <c r="I6" s="4"/>
      <c r="J6" s="4"/>
      <c r="K6" s="4"/>
    </row>
    <row r="7" spans="1:12">
      <c r="A7" s="22" t="s">
        <v>5</v>
      </c>
      <c r="B7" s="23"/>
      <c r="C7" s="24"/>
      <c r="D7" s="2"/>
      <c r="E7" s="3">
        <f>COUNTA(H12:H397)</f>
        <v>43</v>
      </c>
      <c r="F7" s="4"/>
      <c r="G7" s="4"/>
      <c r="H7" s="4"/>
      <c r="I7" s="4"/>
      <c r="J7" s="4"/>
      <c r="K7" s="4"/>
    </row>
    <row r="8" spans="1:12">
      <c r="A8" s="5"/>
      <c r="B8" s="6"/>
      <c r="C8" s="6"/>
      <c r="D8" s="6"/>
      <c r="E8" s="6"/>
      <c r="F8" s="7"/>
      <c r="G8" s="7"/>
      <c r="H8" s="7"/>
      <c r="I8" s="7"/>
      <c r="J8" s="7"/>
      <c r="K8" s="7"/>
    </row>
    <row r="9" spans="1:12" ht="73.5">
      <c r="A9" s="8" t="s">
        <v>6</v>
      </c>
      <c r="B9" s="8" t="s">
        <v>7</v>
      </c>
      <c r="C9" s="8" t="s">
        <v>8</v>
      </c>
      <c r="D9" s="8" t="s">
        <v>9</v>
      </c>
      <c r="E9" s="8" t="s">
        <v>10</v>
      </c>
      <c r="F9" s="8" t="s">
        <v>11</v>
      </c>
      <c r="G9" s="8" t="s">
        <v>12</v>
      </c>
      <c r="H9" s="8" t="s">
        <v>13</v>
      </c>
      <c r="I9" s="8" t="s">
        <v>14</v>
      </c>
      <c r="J9" s="8" t="s">
        <v>15</v>
      </c>
      <c r="K9" s="9" t="s">
        <v>16</v>
      </c>
    </row>
    <row r="10" spans="1:12" ht="28.5" customHeight="1">
      <c r="A10" s="12" t="s">
        <v>17</v>
      </c>
      <c r="B10" s="12"/>
      <c r="C10" s="12"/>
      <c r="D10" s="12"/>
      <c r="E10" s="12"/>
      <c r="F10" s="12"/>
      <c r="G10" s="12"/>
      <c r="H10" s="12"/>
      <c r="I10" s="12"/>
      <c r="J10" s="12"/>
      <c r="K10" s="12"/>
    </row>
    <row r="11" spans="1:12" ht="73.150000000000006" customHeight="1">
      <c r="A11" s="4" t="s">
        <v>18</v>
      </c>
      <c r="B11" s="4" t="s">
        <v>19</v>
      </c>
      <c r="C11" s="4" t="s">
        <v>20</v>
      </c>
      <c r="D11" s="4" t="s">
        <v>21</v>
      </c>
      <c r="E11" s="4" t="s">
        <v>22</v>
      </c>
      <c r="F11" s="4" t="s">
        <v>23</v>
      </c>
      <c r="G11" s="4" t="s">
        <v>24</v>
      </c>
      <c r="H11" s="4" t="s">
        <v>25</v>
      </c>
      <c r="I11" s="4" t="s">
        <v>26</v>
      </c>
      <c r="J11" s="4" t="s">
        <v>26</v>
      </c>
      <c r="K11" s="4" t="s">
        <v>27</v>
      </c>
    </row>
    <row r="12" spans="1:12" ht="89.25" customHeight="1">
      <c r="A12" s="4" t="s">
        <v>28</v>
      </c>
      <c r="B12" s="4" t="s">
        <v>29</v>
      </c>
      <c r="C12" s="4" t="s">
        <v>30</v>
      </c>
      <c r="D12" s="4" t="s">
        <v>21</v>
      </c>
      <c r="E12" s="4" t="s">
        <v>31</v>
      </c>
      <c r="F12" s="4" t="s">
        <v>32</v>
      </c>
      <c r="G12" s="4" t="s">
        <v>33</v>
      </c>
      <c r="H12" s="4" t="s">
        <v>25</v>
      </c>
      <c r="I12" s="4" t="s">
        <v>26</v>
      </c>
      <c r="J12" s="4" t="s">
        <v>26</v>
      </c>
      <c r="K12" s="4" t="s">
        <v>27</v>
      </c>
    </row>
    <row r="13" spans="1:12" ht="121.9" customHeight="1">
      <c r="A13" s="4" t="s">
        <v>34</v>
      </c>
      <c r="B13" s="4" t="s">
        <v>29</v>
      </c>
      <c r="C13" s="4" t="s">
        <v>35</v>
      </c>
      <c r="D13" s="4" t="s">
        <v>21</v>
      </c>
      <c r="E13" s="4" t="s">
        <v>36</v>
      </c>
      <c r="F13" s="4" t="s">
        <v>37</v>
      </c>
      <c r="G13" s="4" t="s">
        <v>38</v>
      </c>
      <c r="H13" s="4" t="s">
        <v>25</v>
      </c>
      <c r="I13" s="4" t="s">
        <v>26</v>
      </c>
      <c r="J13" s="4" t="s">
        <v>26</v>
      </c>
      <c r="K13" s="4" t="s">
        <v>39</v>
      </c>
    </row>
    <row r="14" spans="1:12" ht="130.15" customHeight="1">
      <c r="A14" s="4" t="s">
        <v>40</v>
      </c>
      <c r="B14" s="10" t="s">
        <v>29</v>
      </c>
      <c r="C14" s="10" t="s">
        <v>41</v>
      </c>
      <c r="D14" s="10" t="s">
        <v>42</v>
      </c>
      <c r="E14" s="10" t="s">
        <v>43</v>
      </c>
      <c r="F14" s="10" t="s">
        <v>44</v>
      </c>
      <c r="G14" s="10" t="s">
        <v>45</v>
      </c>
      <c r="H14" s="10" t="s">
        <v>46</v>
      </c>
      <c r="I14" s="10" t="s">
        <v>26</v>
      </c>
      <c r="J14" s="10" t="s">
        <v>26</v>
      </c>
      <c r="K14" s="10" t="s">
        <v>47</v>
      </c>
      <c r="L14" s="10" t="s">
        <v>48</v>
      </c>
    </row>
    <row r="15" spans="1:12" ht="97.15" customHeight="1">
      <c r="A15" s="4" t="s">
        <v>49</v>
      </c>
      <c r="B15" s="4" t="s">
        <v>50</v>
      </c>
      <c r="C15" s="4" t="s">
        <v>51</v>
      </c>
      <c r="D15" s="4" t="s">
        <v>52</v>
      </c>
      <c r="E15" s="4" t="s">
        <v>53</v>
      </c>
      <c r="F15" s="4" t="s">
        <v>54</v>
      </c>
      <c r="G15" s="4" t="s">
        <v>55</v>
      </c>
      <c r="H15" s="4" t="s">
        <v>25</v>
      </c>
      <c r="I15" s="4" t="s">
        <v>26</v>
      </c>
      <c r="J15" s="4" t="s">
        <v>26</v>
      </c>
      <c r="K15" s="4" t="s">
        <v>27</v>
      </c>
    </row>
    <row r="16" spans="1:12" ht="71.25">
      <c r="A16" s="4" t="s">
        <v>56</v>
      </c>
      <c r="B16" s="4" t="s">
        <v>57</v>
      </c>
      <c r="C16" s="4" t="s">
        <v>58</v>
      </c>
      <c r="D16" s="4" t="s">
        <v>59</v>
      </c>
      <c r="E16" s="4" t="s">
        <v>60</v>
      </c>
      <c r="F16" s="4" t="s">
        <v>61</v>
      </c>
      <c r="G16" s="4" t="s">
        <v>62</v>
      </c>
      <c r="H16" s="4" t="s">
        <v>25</v>
      </c>
      <c r="I16" s="4" t="s">
        <v>26</v>
      </c>
      <c r="J16" s="4" t="s">
        <v>26</v>
      </c>
      <c r="K16" s="4" t="s">
        <v>27</v>
      </c>
    </row>
    <row r="17" spans="1:11" ht="114">
      <c r="A17" s="4" t="s">
        <v>63</v>
      </c>
      <c r="B17" s="4" t="s">
        <v>57</v>
      </c>
      <c r="C17" s="4" t="s">
        <v>64</v>
      </c>
      <c r="D17" s="4" t="s">
        <v>65</v>
      </c>
      <c r="E17" s="4" t="s">
        <v>66</v>
      </c>
      <c r="F17" s="4" t="s">
        <v>67</v>
      </c>
      <c r="G17" s="4" t="s">
        <v>68</v>
      </c>
      <c r="H17" s="4" t="s">
        <v>25</v>
      </c>
      <c r="I17" s="4" t="s">
        <v>26</v>
      </c>
      <c r="J17" s="4" t="s">
        <v>26</v>
      </c>
      <c r="K17" s="4" t="s">
        <v>27</v>
      </c>
    </row>
    <row r="18" spans="1:11" ht="99.75">
      <c r="A18" s="4" t="s">
        <v>69</v>
      </c>
      <c r="B18" s="4" t="s">
        <v>57</v>
      </c>
      <c r="C18" s="4" t="s">
        <v>70</v>
      </c>
      <c r="D18" s="4" t="s">
        <v>71</v>
      </c>
      <c r="E18" s="4" t="s">
        <v>72</v>
      </c>
      <c r="F18" s="4" t="s">
        <v>73</v>
      </c>
      <c r="G18" s="4" t="s">
        <v>74</v>
      </c>
      <c r="H18" s="4" t="s">
        <v>25</v>
      </c>
      <c r="I18" s="4" t="s">
        <v>26</v>
      </c>
      <c r="J18" s="4" t="s">
        <v>26</v>
      </c>
      <c r="K18" s="4" t="s">
        <v>27</v>
      </c>
    </row>
    <row r="19" spans="1:11" ht="128.25">
      <c r="A19" s="4" t="s">
        <v>75</v>
      </c>
      <c r="B19" s="10" t="s">
        <v>57</v>
      </c>
      <c r="C19" s="10" t="s">
        <v>76</v>
      </c>
      <c r="D19" s="10" t="s">
        <v>77</v>
      </c>
      <c r="E19" s="10" t="s">
        <v>78</v>
      </c>
      <c r="F19" s="10" t="s">
        <v>79</v>
      </c>
      <c r="G19" s="10" t="s">
        <v>80</v>
      </c>
      <c r="H19" s="10" t="s">
        <v>46</v>
      </c>
      <c r="I19" s="10" t="s">
        <v>26</v>
      </c>
      <c r="J19" s="10" t="s">
        <v>26</v>
      </c>
      <c r="K19" s="10" t="s">
        <v>81</v>
      </c>
    </row>
    <row r="20" spans="1:11" ht="71.25">
      <c r="A20" s="4" t="s">
        <v>82</v>
      </c>
      <c r="B20" s="4" t="s">
        <v>57</v>
      </c>
      <c r="C20" s="4" t="s">
        <v>83</v>
      </c>
      <c r="D20" s="4" t="s">
        <v>84</v>
      </c>
      <c r="E20" s="4" t="s">
        <v>85</v>
      </c>
      <c r="F20" s="4" t="s">
        <v>86</v>
      </c>
      <c r="G20" s="4" t="s">
        <v>87</v>
      </c>
      <c r="H20" s="4" t="s">
        <v>25</v>
      </c>
      <c r="I20" s="4" t="s">
        <v>26</v>
      </c>
      <c r="J20" s="4" t="s">
        <v>26</v>
      </c>
      <c r="K20" s="4" t="s">
        <v>27</v>
      </c>
    </row>
    <row r="21" spans="1:11" ht="99.75">
      <c r="A21" s="4" t="s">
        <v>88</v>
      </c>
      <c r="B21" s="4" t="s">
        <v>57</v>
      </c>
      <c r="C21" s="4" t="s">
        <v>89</v>
      </c>
      <c r="D21" s="4" t="s">
        <v>90</v>
      </c>
      <c r="E21" s="4" t="s">
        <v>91</v>
      </c>
      <c r="F21" s="4" t="s">
        <v>86</v>
      </c>
      <c r="G21" s="4" t="s">
        <v>92</v>
      </c>
      <c r="H21" s="4" t="s">
        <v>25</v>
      </c>
      <c r="I21" s="4" t="s">
        <v>26</v>
      </c>
      <c r="J21" s="4" t="s">
        <v>26</v>
      </c>
      <c r="K21" s="4" t="s">
        <v>27</v>
      </c>
    </row>
    <row r="22" spans="1:11" ht="57">
      <c r="A22" s="4" t="s">
        <v>93</v>
      </c>
      <c r="B22" s="4" t="s">
        <v>57</v>
      </c>
      <c r="C22" s="4" t="s">
        <v>94</v>
      </c>
      <c r="D22" s="4" t="s">
        <v>59</v>
      </c>
      <c r="E22" s="4" t="s">
        <v>95</v>
      </c>
      <c r="F22" s="4" t="s">
        <v>96</v>
      </c>
      <c r="G22" s="4" t="s">
        <v>97</v>
      </c>
      <c r="H22" s="4" t="s">
        <v>25</v>
      </c>
      <c r="I22" s="4" t="s">
        <v>26</v>
      </c>
      <c r="J22" s="4" t="s">
        <v>26</v>
      </c>
      <c r="K22" s="4" t="s">
        <v>27</v>
      </c>
    </row>
    <row r="23" spans="1:11" ht="99.75">
      <c r="A23" s="4" t="s">
        <v>98</v>
      </c>
      <c r="B23" s="4" t="s">
        <v>57</v>
      </c>
      <c r="C23" s="4" t="s">
        <v>99</v>
      </c>
      <c r="D23" s="4" t="s">
        <v>59</v>
      </c>
      <c r="E23" s="4" t="s">
        <v>100</v>
      </c>
      <c r="F23" s="4" t="s">
        <v>101</v>
      </c>
      <c r="G23" s="4" t="s">
        <v>102</v>
      </c>
      <c r="H23" s="4" t="s">
        <v>25</v>
      </c>
      <c r="I23" s="4" t="s">
        <v>26</v>
      </c>
      <c r="J23" s="4" t="s">
        <v>26</v>
      </c>
      <c r="K23" s="4" t="s">
        <v>27</v>
      </c>
    </row>
    <row r="24" spans="1:11" ht="99.75">
      <c r="A24" s="4" t="s">
        <v>103</v>
      </c>
      <c r="B24" s="4" t="s">
        <v>57</v>
      </c>
      <c r="C24" s="4" t="s">
        <v>104</v>
      </c>
      <c r="D24" s="4" t="s">
        <v>105</v>
      </c>
      <c r="E24" s="4" t="s">
        <v>106</v>
      </c>
      <c r="F24" s="4" t="s">
        <v>107</v>
      </c>
      <c r="G24" s="4" t="s">
        <v>108</v>
      </c>
      <c r="H24" s="4" t="s">
        <v>25</v>
      </c>
      <c r="I24" s="4" t="s">
        <v>26</v>
      </c>
      <c r="J24" s="4" t="s">
        <v>26</v>
      </c>
      <c r="K24" s="4" t="s">
        <v>27</v>
      </c>
    </row>
    <row r="25" spans="1:11" ht="142.5">
      <c r="A25" s="4" t="s">
        <v>109</v>
      </c>
      <c r="B25" s="4" t="s">
        <v>57</v>
      </c>
      <c r="C25" s="4" t="s">
        <v>110</v>
      </c>
      <c r="D25" s="4" t="s">
        <v>111</v>
      </c>
      <c r="E25" s="4" t="s">
        <v>112</v>
      </c>
      <c r="F25" s="4" t="s">
        <v>113</v>
      </c>
      <c r="G25" s="4" t="s">
        <v>114</v>
      </c>
      <c r="H25" s="4" t="s">
        <v>25</v>
      </c>
      <c r="I25" s="4" t="s">
        <v>26</v>
      </c>
      <c r="J25" s="4" t="s">
        <v>26</v>
      </c>
      <c r="K25" s="4" t="s">
        <v>27</v>
      </c>
    </row>
    <row r="26" spans="1:11" ht="128.25">
      <c r="A26" s="4" t="s">
        <v>115</v>
      </c>
      <c r="B26" s="4" t="s">
        <v>57</v>
      </c>
      <c r="C26" s="4" t="s">
        <v>116</v>
      </c>
      <c r="D26" s="4" t="s">
        <v>117</v>
      </c>
      <c r="E26" s="4" t="s">
        <v>118</v>
      </c>
      <c r="F26" s="4" t="s">
        <v>119</v>
      </c>
      <c r="G26" s="4" t="s">
        <v>120</v>
      </c>
      <c r="H26" s="4" t="s">
        <v>25</v>
      </c>
      <c r="I26" s="4" t="s">
        <v>26</v>
      </c>
      <c r="J26" s="4" t="s">
        <v>26</v>
      </c>
      <c r="K26" s="4" t="s">
        <v>47</v>
      </c>
    </row>
    <row r="27" spans="1:11" ht="92.45" customHeight="1">
      <c r="A27" s="4" t="s">
        <v>121</v>
      </c>
      <c r="B27" s="4" t="s">
        <v>57</v>
      </c>
      <c r="C27" s="4" t="s">
        <v>122</v>
      </c>
      <c r="D27" s="4" t="s">
        <v>123</v>
      </c>
      <c r="E27" s="4" t="s">
        <v>124</v>
      </c>
      <c r="F27" s="4" t="s">
        <v>125</v>
      </c>
      <c r="G27" s="4" t="s">
        <v>126</v>
      </c>
      <c r="H27" s="4" t="s">
        <v>25</v>
      </c>
      <c r="I27" s="4" t="s">
        <v>26</v>
      </c>
      <c r="J27" s="4" t="s">
        <v>26</v>
      </c>
      <c r="K27" s="4" t="s">
        <v>27</v>
      </c>
    </row>
    <row r="28" spans="1:11" ht="57">
      <c r="A28" s="4" t="s">
        <v>127</v>
      </c>
      <c r="B28" s="4" t="s">
        <v>57</v>
      </c>
      <c r="C28" s="4" t="s">
        <v>128</v>
      </c>
      <c r="D28" s="4" t="s">
        <v>129</v>
      </c>
      <c r="E28" s="4" t="s">
        <v>130</v>
      </c>
      <c r="F28" s="4" t="s">
        <v>101</v>
      </c>
      <c r="G28" s="4" t="s">
        <v>131</v>
      </c>
      <c r="H28" s="4" t="s">
        <v>25</v>
      </c>
      <c r="I28" s="4" t="s">
        <v>26</v>
      </c>
      <c r="J28" s="4" t="s">
        <v>26</v>
      </c>
      <c r="K28" s="4" t="s">
        <v>27</v>
      </c>
    </row>
    <row r="29" spans="1:11" ht="71.25">
      <c r="A29" s="4" t="s">
        <v>132</v>
      </c>
      <c r="B29" s="4" t="s">
        <v>57</v>
      </c>
      <c r="C29" s="4" t="s">
        <v>133</v>
      </c>
      <c r="D29" s="4" t="s">
        <v>134</v>
      </c>
      <c r="E29" s="4" t="s">
        <v>135</v>
      </c>
      <c r="F29" s="4" t="s">
        <v>136</v>
      </c>
      <c r="G29" s="4" t="s">
        <v>137</v>
      </c>
      <c r="H29" s="4" t="s">
        <v>25</v>
      </c>
      <c r="I29" s="4" t="s">
        <v>26</v>
      </c>
      <c r="J29" s="4" t="s">
        <v>26</v>
      </c>
      <c r="K29" s="4" t="s">
        <v>27</v>
      </c>
    </row>
    <row r="30" spans="1:11" ht="99.75">
      <c r="A30" s="4" t="s">
        <v>138</v>
      </c>
      <c r="B30" s="4" t="s">
        <v>57</v>
      </c>
      <c r="C30" s="4" t="s">
        <v>139</v>
      </c>
      <c r="D30" s="4" t="s">
        <v>140</v>
      </c>
      <c r="E30" s="4" t="s">
        <v>141</v>
      </c>
      <c r="F30" s="4" t="s">
        <v>142</v>
      </c>
      <c r="G30" s="4" t="s">
        <v>143</v>
      </c>
      <c r="H30" s="4" t="s">
        <v>46</v>
      </c>
      <c r="I30" s="4" t="s">
        <v>26</v>
      </c>
      <c r="J30" s="4" t="s">
        <v>26</v>
      </c>
      <c r="K30" s="4" t="s">
        <v>47</v>
      </c>
    </row>
    <row r="31" spans="1:11" ht="114">
      <c r="A31" s="4" t="s">
        <v>144</v>
      </c>
      <c r="B31" s="4" t="s">
        <v>57</v>
      </c>
      <c r="C31" s="4" t="s">
        <v>145</v>
      </c>
      <c r="D31" s="4" t="s">
        <v>146</v>
      </c>
      <c r="E31" s="4" t="s">
        <v>147</v>
      </c>
      <c r="F31" s="4" t="s">
        <v>148</v>
      </c>
      <c r="G31" s="4" t="s">
        <v>149</v>
      </c>
      <c r="H31" s="4" t="s">
        <v>46</v>
      </c>
      <c r="I31" s="4" t="s">
        <v>26</v>
      </c>
      <c r="J31" s="4" t="s">
        <v>26</v>
      </c>
      <c r="K31" s="4" t="s">
        <v>47</v>
      </c>
    </row>
    <row r="32" spans="1:11" ht="97.9" customHeight="1">
      <c r="A32" s="4" t="s">
        <v>150</v>
      </c>
      <c r="B32" s="4" t="s">
        <v>57</v>
      </c>
      <c r="C32" s="4" t="s">
        <v>151</v>
      </c>
      <c r="D32" s="4" t="s">
        <v>152</v>
      </c>
      <c r="E32" s="4" t="s">
        <v>153</v>
      </c>
      <c r="F32" s="4" t="s">
        <v>154</v>
      </c>
      <c r="G32" s="4" t="s">
        <v>155</v>
      </c>
      <c r="H32" s="4" t="s">
        <v>25</v>
      </c>
      <c r="I32" s="4" t="s">
        <v>26</v>
      </c>
      <c r="J32" s="4" t="s">
        <v>26</v>
      </c>
      <c r="K32" s="4" t="s">
        <v>47</v>
      </c>
    </row>
    <row r="33" spans="1:11" ht="124.9" customHeight="1">
      <c r="A33" s="4" t="s">
        <v>156</v>
      </c>
      <c r="B33" s="4" t="s">
        <v>157</v>
      </c>
      <c r="C33" s="4" t="s">
        <v>158</v>
      </c>
      <c r="D33" s="4" t="s">
        <v>159</v>
      </c>
      <c r="E33" s="4" t="s">
        <v>160</v>
      </c>
      <c r="F33" s="4" t="s">
        <v>161</v>
      </c>
      <c r="G33" s="4" t="s">
        <v>162</v>
      </c>
      <c r="H33" s="4" t="s">
        <v>46</v>
      </c>
      <c r="I33" s="4" t="s">
        <v>26</v>
      </c>
      <c r="J33" s="4" t="s">
        <v>26</v>
      </c>
      <c r="K33" s="4" t="s">
        <v>27</v>
      </c>
    </row>
    <row r="34" spans="1:11" ht="130.15" customHeight="1">
      <c r="A34" s="4" t="s">
        <v>163</v>
      </c>
      <c r="B34" s="4" t="s">
        <v>164</v>
      </c>
      <c r="C34" s="4" t="s">
        <v>165</v>
      </c>
      <c r="D34" s="4" t="s">
        <v>166</v>
      </c>
      <c r="E34" s="4" t="s">
        <v>167</v>
      </c>
      <c r="F34" s="4" t="s">
        <v>168</v>
      </c>
      <c r="G34" s="4" t="s">
        <v>169</v>
      </c>
      <c r="H34" s="4" t="s">
        <v>25</v>
      </c>
      <c r="I34" s="4" t="s">
        <v>26</v>
      </c>
      <c r="J34" s="4" t="s">
        <v>26</v>
      </c>
      <c r="K34" s="4" t="s">
        <v>27</v>
      </c>
    </row>
    <row r="35" spans="1:11" ht="94.5" customHeight="1">
      <c r="A35" s="4" t="s">
        <v>170</v>
      </c>
      <c r="B35" s="4" t="s">
        <v>171</v>
      </c>
      <c r="C35" s="4" t="s">
        <v>172</v>
      </c>
      <c r="D35" s="4" t="s">
        <v>173</v>
      </c>
      <c r="E35" s="4" t="s">
        <v>174</v>
      </c>
      <c r="F35" s="4" t="s">
        <v>175</v>
      </c>
      <c r="G35" s="4" t="s">
        <v>176</v>
      </c>
      <c r="H35" s="4" t="s">
        <v>25</v>
      </c>
      <c r="I35" s="4" t="s">
        <v>26</v>
      </c>
      <c r="J35" s="4" t="s">
        <v>26</v>
      </c>
      <c r="K35" s="4" t="s">
        <v>177</v>
      </c>
    </row>
    <row r="36" spans="1:11" ht="87.4" customHeight="1">
      <c r="A36" s="4" t="s">
        <v>178</v>
      </c>
      <c r="B36" s="4" t="s">
        <v>179</v>
      </c>
      <c r="C36" s="4" t="s">
        <v>180</v>
      </c>
      <c r="D36" s="4" t="s">
        <v>173</v>
      </c>
      <c r="E36" s="4" t="s">
        <v>181</v>
      </c>
      <c r="F36" s="4" t="s">
        <v>182</v>
      </c>
      <c r="G36" s="4" t="s">
        <v>183</v>
      </c>
      <c r="H36" s="4" t="s">
        <v>25</v>
      </c>
      <c r="I36" s="4" t="s">
        <v>26</v>
      </c>
      <c r="J36" s="4" t="s">
        <v>26</v>
      </c>
      <c r="K36" s="4" t="s">
        <v>47</v>
      </c>
    </row>
    <row r="37" spans="1:11" ht="111" customHeight="1">
      <c r="A37" s="4" t="s">
        <v>184</v>
      </c>
      <c r="B37" s="4" t="s">
        <v>185</v>
      </c>
      <c r="C37" s="4" t="s">
        <v>186</v>
      </c>
      <c r="D37" s="4" t="s">
        <v>187</v>
      </c>
      <c r="E37" s="4" t="s">
        <v>188</v>
      </c>
      <c r="F37" s="4" t="s">
        <v>189</v>
      </c>
      <c r="G37" s="4" t="s">
        <v>190</v>
      </c>
      <c r="H37" s="4" t="s">
        <v>46</v>
      </c>
      <c r="I37" s="4" t="s">
        <v>26</v>
      </c>
      <c r="J37" s="4" t="s">
        <v>26</v>
      </c>
      <c r="K37" s="4" t="s">
        <v>47</v>
      </c>
    </row>
    <row r="38" spans="1:11" ht="15">
      <c r="A38" s="12" t="s">
        <v>191</v>
      </c>
      <c r="B38" s="12"/>
      <c r="C38" s="12"/>
      <c r="D38" s="12"/>
      <c r="E38" s="12"/>
      <c r="F38" s="12"/>
      <c r="G38" s="12"/>
      <c r="H38" s="12"/>
      <c r="I38" s="12"/>
      <c r="J38" s="12"/>
      <c r="K38" s="12"/>
    </row>
    <row r="39" spans="1:11" ht="87">
      <c r="A39" s="4" t="s">
        <v>192</v>
      </c>
      <c r="B39" s="4" t="s">
        <v>193</v>
      </c>
      <c r="C39" s="4" t="s">
        <v>194</v>
      </c>
      <c r="D39" s="4" t="s">
        <v>195</v>
      </c>
      <c r="E39" s="4" t="s">
        <v>196</v>
      </c>
      <c r="F39" s="4" t="s">
        <v>197</v>
      </c>
      <c r="G39" s="4" t="s">
        <v>198</v>
      </c>
      <c r="H39" s="4" t="s">
        <v>25</v>
      </c>
      <c r="I39" s="4" t="s">
        <v>26</v>
      </c>
      <c r="J39" s="4" t="s">
        <v>26</v>
      </c>
      <c r="K39" s="4" t="s">
        <v>27</v>
      </c>
    </row>
    <row r="40" spans="1:11" ht="115.5">
      <c r="A40" s="4" t="s">
        <v>199</v>
      </c>
      <c r="B40" s="4" t="s">
        <v>193</v>
      </c>
      <c r="C40" s="4" t="s">
        <v>200</v>
      </c>
      <c r="D40" s="4" t="s">
        <v>201</v>
      </c>
      <c r="E40" s="4" t="s">
        <v>202</v>
      </c>
      <c r="F40" s="11" t="s">
        <v>203</v>
      </c>
      <c r="G40" s="4" t="s">
        <v>204</v>
      </c>
      <c r="H40" s="4" t="s">
        <v>25</v>
      </c>
      <c r="I40" s="4" t="s">
        <v>26</v>
      </c>
      <c r="J40" s="4" t="s">
        <v>26</v>
      </c>
      <c r="K40" s="4" t="s">
        <v>47</v>
      </c>
    </row>
    <row r="41" spans="1:11" ht="72.75">
      <c r="A41" s="4" t="s">
        <v>205</v>
      </c>
      <c r="B41" s="4" t="s">
        <v>206</v>
      </c>
      <c r="C41" s="4" t="s">
        <v>207</v>
      </c>
      <c r="D41" s="4" t="s">
        <v>159</v>
      </c>
      <c r="E41" s="4" t="s">
        <v>208</v>
      </c>
      <c r="F41" s="4" t="s">
        <v>37</v>
      </c>
      <c r="G41" s="4" t="s">
        <v>209</v>
      </c>
      <c r="H41" s="4" t="s">
        <v>25</v>
      </c>
      <c r="I41" s="4" t="s">
        <v>26</v>
      </c>
      <c r="J41" s="4" t="s">
        <v>26</v>
      </c>
      <c r="K41" s="4" t="s">
        <v>27</v>
      </c>
    </row>
    <row r="42" spans="1:11" ht="72.75">
      <c r="A42" s="4" t="s">
        <v>210</v>
      </c>
      <c r="B42" s="4" t="s">
        <v>206</v>
      </c>
      <c r="C42" s="4" t="s">
        <v>211</v>
      </c>
      <c r="D42" s="4" t="s">
        <v>159</v>
      </c>
      <c r="E42" s="4" t="s">
        <v>212</v>
      </c>
      <c r="F42" s="4" t="s">
        <v>37</v>
      </c>
      <c r="G42" s="4" t="s">
        <v>209</v>
      </c>
      <c r="H42" s="4" t="s">
        <v>25</v>
      </c>
      <c r="I42" s="4" t="s">
        <v>26</v>
      </c>
      <c r="J42" s="4" t="s">
        <v>26</v>
      </c>
      <c r="K42" s="4" t="s">
        <v>27</v>
      </c>
    </row>
    <row r="43" spans="1:11" ht="87">
      <c r="A43" s="4" t="s">
        <v>213</v>
      </c>
      <c r="B43" s="4" t="s">
        <v>214</v>
      </c>
      <c r="C43" s="4" t="s">
        <v>215</v>
      </c>
      <c r="D43" s="4" t="s">
        <v>216</v>
      </c>
      <c r="E43" s="4" t="s">
        <v>217</v>
      </c>
      <c r="F43" s="4" t="s">
        <v>218</v>
      </c>
      <c r="G43" s="4" t="s">
        <v>219</v>
      </c>
      <c r="H43" s="4" t="s">
        <v>25</v>
      </c>
      <c r="I43" s="4" t="s">
        <v>26</v>
      </c>
      <c r="J43" s="4" t="s">
        <v>26</v>
      </c>
      <c r="K43" s="4" t="s">
        <v>27</v>
      </c>
    </row>
    <row r="44" spans="1:11" ht="87">
      <c r="A44" s="4" t="s">
        <v>220</v>
      </c>
      <c r="B44" s="4" t="s">
        <v>221</v>
      </c>
      <c r="C44" s="4" t="s">
        <v>222</v>
      </c>
      <c r="D44" s="4" t="s">
        <v>166</v>
      </c>
      <c r="E44" s="4" t="s">
        <v>223</v>
      </c>
      <c r="F44" s="4" t="s">
        <v>168</v>
      </c>
      <c r="G44" s="4" t="s">
        <v>224</v>
      </c>
      <c r="H44" s="4" t="s">
        <v>25</v>
      </c>
      <c r="I44" s="4" t="s">
        <v>26</v>
      </c>
      <c r="J44" s="4" t="s">
        <v>26</v>
      </c>
      <c r="K44" s="4" t="s">
        <v>27</v>
      </c>
    </row>
    <row r="45" spans="1:11" ht="87">
      <c r="A45" s="4" t="s">
        <v>225</v>
      </c>
      <c r="B45" s="4" t="s">
        <v>226</v>
      </c>
      <c r="C45" s="4" t="s">
        <v>227</v>
      </c>
      <c r="D45" s="4" t="s">
        <v>173</v>
      </c>
      <c r="E45" s="4" t="s">
        <v>228</v>
      </c>
      <c r="F45" s="4" t="s">
        <v>175</v>
      </c>
      <c r="G45" s="4" t="s">
        <v>229</v>
      </c>
      <c r="H45" s="4" t="s">
        <v>25</v>
      </c>
      <c r="I45" s="4" t="s">
        <v>26</v>
      </c>
      <c r="J45" s="4" t="s">
        <v>26</v>
      </c>
      <c r="K45" s="4" t="s">
        <v>47</v>
      </c>
    </row>
    <row r="46" spans="1:11" ht="87">
      <c r="A46" s="4" t="s">
        <v>230</v>
      </c>
      <c r="B46" s="4" t="s">
        <v>231</v>
      </c>
      <c r="C46" s="4" t="s">
        <v>232</v>
      </c>
      <c r="D46" s="4" t="s">
        <v>173</v>
      </c>
      <c r="E46" s="4" t="s">
        <v>233</v>
      </c>
      <c r="F46" s="4" t="s">
        <v>234</v>
      </c>
      <c r="G46" s="4" t="s">
        <v>235</v>
      </c>
      <c r="H46" s="4" t="s">
        <v>25</v>
      </c>
      <c r="I46" s="4" t="s">
        <v>26</v>
      </c>
      <c r="J46" s="4" t="s">
        <v>26</v>
      </c>
      <c r="K46" s="4" t="s">
        <v>177</v>
      </c>
    </row>
    <row r="47" spans="1:11" ht="87">
      <c r="A47" s="4" t="s">
        <v>236</v>
      </c>
      <c r="B47" s="4" t="s">
        <v>237</v>
      </c>
      <c r="C47" s="4" t="s">
        <v>238</v>
      </c>
      <c r="D47" s="4" t="s">
        <v>173</v>
      </c>
      <c r="E47" s="4" t="s">
        <v>239</v>
      </c>
      <c r="F47" s="4" t="s">
        <v>240</v>
      </c>
      <c r="G47" s="4" t="s">
        <v>241</v>
      </c>
      <c r="H47" s="4" t="s">
        <v>25</v>
      </c>
      <c r="I47" s="4" t="s">
        <v>26</v>
      </c>
      <c r="J47" s="4" t="s">
        <v>26</v>
      </c>
      <c r="K47" s="4" t="s">
        <v>177</v>
      </c>
    </row>
    <row r="48" spans="1:11" ht="57.75">
      <c r="A48" s="4" t="s">
        <v>242</v>
      </c>
      <c r="B48" s="4" t="s">
        <v>243</v>
      </c>
      <c r="C48" s="4" t="s">
        <v>244</v>
      </c>
      <c r="D48" s="4" t="s">
        <v>173</v>
      </c>
      <c r="E48" s="4" t="s">
        <v>245</v>
      </c>
      <c r="F48" s="4" t="s">
        <v>161</v>
      </c>
      <c r="G48" s="4" t="s">
        <v>246</v>
      </c>
      <c r="H48" s="4" t="s">
        <v>25</v>
      </c>
      <c r="I48" s="4" t="s">
        <v>26</v>
      </c>
      <c r="J48" s="4" t="s">
        <v>26</v>
      </c>
      <c r="K48" s="4" t="s">
        <v>177</v>
      </c>
    </row>
    <row r="49" spans="1:11" ht="115.5">
      <c r="A49" s="4" t="s">
        <v>247</v>
      </c>
      <c r="B49" s="4" t="s">
        <v>248</v>
      </c>
      <c r="C49" s="4" t="s">
        <v>249</v>
      </c>
      <c r="D49" s="4" t="s">
        <v>166</v>
      </c>
      <c r="E49" s="4" t="s">
        <v>250</v>
      </c>
      <c r="F49" s="4" t="s">
        <v>251</v>
      </c>
      <c r="G49" s="4" t="s">
        <v>252</v>
      </c>
      <c r="H49" s="4" t="s">
        <v>253</v>
      </c>
      <c r="I49" s="4" t="s">
        <v>26</v>
      </c>
      <c r="J49" s="4" t="s">
        <v>26</v>
      </c>
      <c r="K49" s="4" t="s">
        <v>27</v>
      </c>
    </row>
    <row r="50" spans="1:11" ht="72.75">
      <c r="A50" s="4" t="s">
        <v>254</v>
      </c>
      <c r="B50" s="4" t="s">
        <v>255</v>
      </c>
      <c r="C50" s="4" t="s">
        <v>256</v>
      </c>
      <c r="D50" s="4" t="s">
        <v>257</v>
      </c>
      <c r="E50" s="4" t="s">
        <v>258</v>
      </c>
      <c r="F50" s="4" t="s">
        <v>259</v>
      </c>
      <c r="G50" s="4" t="s">
        <v>260</v>
      </c>
      <c r="H50" s="4" t="s">
        <v>253</v>
      </c>
      <c r="I50" s="4" t="s">
        <v>26</v>
      </c>
      <c r="J50" s="4" t="s">
        <v>26</v>
      </c>
      <c r="K50" s="4" t="s">
        <v>27</v>
      </c>
    </row>
    <row r="51" spans="1:11" ht="101.25">
      <c r="A51" s="4" t="s">
        <v>261</v>
      </c>
      <c r="B51" s="4" t="s">
        <v>262</v>
      </c>
      <c r="C51" s="4" t="s">
        <v>263</v>
      </c>
      <c r="D51" s="4" t="s">
        <v>264</v>
      </c>
      <c r="E51" s="4" t="s">
        <v>265</v>
      </c>
      <c r="F51" s="4" t="s">
        <v>161</v>
      </c>
      <c r="G51" s="4" t="s">
        <v>266</v>
      </c>
      <c r="H51" s="4" t="s">
        <v>25</v>
      </c>
      <c r="I51" s="4" t="s">
        <v>26</v>
      </c>
      <c r="J51" s="4" t="s">
        <v>26</v>
      </c>
      <c r="K51" s="4" t="s">
        <v>27</v>
      </c>
    </row>
    <row r="52" spans="1:11" ht="57.75">
      <c r="A52" s="4" t="s">
        <v>267</v>
      </c>
      <c r="B52" s="4" t="s">
        <v>50</v>
      </c>
      <c r="C52" s="4" t="s">
        <v>268</v>
      </c>
      <c r="D52" s="4" t="s">
        <v>52</v>
      </c>
      <c r="E52" s="4" t="s">
        <v>269</v>
      </c>
      <c r="F52" s="4" t="s">
        <v>270</v>
      </c>
      <c r="G52" s="4" t="s">
        <v>271</v>
      </c>
      <c r="H52" s="4" t="s">
        <v>25</v>
      </c>
      <c r="I52" s="4" t="s">
        <v>26</v>
      </c>
      <c r="J52" s="4" t="s">
        <v>26</v>
      </c>
      <c r="K52" s="4" t="s">
        <v>27</v>
      </c>
    </row>
    <row r="53" spans="1:11" ht="87">
      <c r="A53" s="4" t="s">
        <v>272</v>
      </c>
      <c r="B53" s="4" t="s">
        <v>50</v>
      </c>
      <c r="C53" s="4" t="s">
        <v>273</v>
      </c>
      <c r="D53" s="4" t="s">
        <v>90</v>
      </c>
      <c r="E53" s="4" t="s">
        <v>274</v>
      </c>
      <c r="F53" s="4" t="s">
        <v>86</v>
      </c>
      <c r="G53" s="4" t="s">
        <v>275</v>
      </c>
      <c r="H53" s="4" t="s">
        <v>25</v>
      </c>
      <c r="I53" s="4" t="s">
        <v>26</v>
      </c>
      <c r="J53" s="4" t="s">
        <v>26</v>
      </c>
      <c r="K53" s="4" t="s">
        <v>47</v>
      </c>
    </row>
    <row r="54" spans="1:11" ht="87">
      <c r="A54" s="4" t="s">
        <v>276</v>
      </c>
      <c r="B54" s="4" t="s">
        <v>277</v>
      </c>
      <c r="C54" s="4" t="s">
        <v>278</v>
      </c>
      <c r="D54" s="4" t="s">
        <v>279</v>
      </c>
      <c r="E54" s="4" t="s">
        <v>280</v>
      </c>
      <c r="F54" s="4" t="s">
        <v>281</v>
      </c>
      <c r="G54" s="4" t="s">
        <v>282</v>
      </c>
      <c r="H54" s="4" t="s">
        <v>25</v>
      </c>
      <c r="I54" s="4" t="s">
        <v>26</v>
      </c>
      <c r="J54" s="4" t="s">
        <v>26</v>
      </c>
      <c r="K54" s="4" t="s">
        <v>47</v>
      </c>
    </row>
    <row r="55" spans="1:11" ht="72.75">
      <c r="A55" s="4" t="s">
        <v>283</v>
      </c>
      <c r="B55" s="4" t="s">
        <v>284</v>
      </c>
      <c r="C55" s="4" t="s">
        <v>285</v>
      </c>
      <c r="D55" s="4" t="s">
        <v>286</v>
      </c>
      <c r="E55" s="4" t="s">
        <v>287</v>
      </c>
      <c r="F55" s="4" t="s">
        <v>288</v>
      </c>
      <c r="G55" s="4" t="s">
        <v>289</v>
      </c>
      <c r="H55" s="4" t="s">
        <v>46</v>
      </c>
      <c r="I55" s="4" t="s">
        <v>26</v>
      </c>
      <c r="J55" s="4" t="s">
        <v>26</v>
      </c>
      <c r="K55" s="4" t="s">
        <v>47</v>
      </c>
    </row>
    <row r="56" spans="1:11" ht="15"/>
  </sheetData>
  <mergeCells count="7">
    <mergeCell ref="A38:K38"/>
    <mergeCell ref="A10:K10"/>
    <mergeCell ref="A1:E3"/>
    <mergeCell ref="A4:C4"/>
    <mergeCell ref="A5:C5"/>
    <mergeCell ref="A6:C6"/>
    <mergeCell ref="A7:C7"/>
  </mergeCells>
  <phoneticPr fontId="1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E0C946-531F-4CAC-9E99-9B55D0919744}">
  <dimension ref="A1:K31"/>
  <sheetViews>
    <sheetView workbookViewId="0">
      <selection activeCell="A2" sqref="A2:K2"/>
    </sheetView>
  </sheetViews>
  <sheetFormatPr defaultRowHeight="14.25"/>
  <cols>
    <col min="1" max="1" width="18.140625" customWidth="1"/>
    <col min="2" max="2" width="27.140625" customWidth="1"/>
    <col min="3" max="3" width="18.28515625" customWidth="1"/>
    <col min="4" max="4" width="18.7109375" customWidth="1"/>
    <col min="5" max="5" width="18.85546875" customWidth="1"/>
    <col min="6" max="6" width="20.85546875" customWidth="1"/>
    <col min="7" max="7" width="17.7109375" customWidth="1"/>
  </cols>
  <sheetData>
    <row r="1" spans="1:11" ht="129.75">
      <c r="A1" s="8" t="s">
        <v>6</v>
      </c>
      <c r="B1" s="8" t="s">
        <v>7</v>
      </c>
      <c r="C1" s="8" t="s">
        <v>8</v>
      </c>
      <c r="D1" s="8" t="s">
        <v>9</v>
      </c>
      <c r="E1" s="8" t="s">
        <v>10</v>
      </c>
      <c r="F1" s="8" t="s">
        <v>11</v>
      </c>
      <c r="G1" s="8" t="s">
        <v>12</v>
      </c>
      <c r="H1" s="8" t="s">
        <v>13</v>
      </c>
      <c r="I1" s="8" t="s">
        <v>14</v>
      </c>
      <c r="J1" s="8" t="s">
        <v>15</v>
      </c>
      <c r="K1" s="9" t="s">
        <v>16</v>
      </c>
    </row>
    <row r="2" spans="1:11" ht="15">
      <c r="A2" s="12" t="s">
        <v>290</v>
      </c>
      <c r="B2" s="12"/>
      <c r="C2" s="12"/>
      <c r="D2" s="12"/>
      <c r="E2" s="12"/>
      <c r="F2" s="12"/>
      <c r="G2" s="12"/>
      <c r="H2" s="12"/>
      <c r="I2" s="12"/>
      <c r="J2" s="12"/>
      <c r="K2" s="12"/>
    </row>
    <row r="3" spans="1:11" ht="144.75">
      <c r="A3" s="25" t="s">
        <v>291</v>
      </c>
      <c r="B3" s="25" t="s">
        <v>292</v>
      </c>
      <c r="C3" s="25" t="s">
        <v>293</v>
      </c>
      <c r="D3" s="25" t="s">
        <v>294</v>
      </c>
      <c r="E3" s="25" t="s">
        <v>295</v>
      </c>
      <c r="F3" s="26" t="s">
        <v>296</v>
      </c>
      <c r="G3" s="25" t="s">
        <v>297</v>
      </c>
      <c r="H3" s="25" t="s">
        <v>46</v>
      </c>
      <c r="I3" s="25" t="s">
        <v>26</v>
      </c>
      <c r="J3" s="25" t="s">
        <v>26</v>
      </c>
      <c r="K3" s="25" t="s">
        <v>298</v>
      </c>
    </row>
    <row r="4" spans="1:11" ht="115.5">
      <c r="A4" s="25" t="s">
        <v>299</v>
      </c>
      <c r="B4" s="25" t="s">
        <v>300</v>
      </c>
      <c r="C4" s="25" t="s">
        <v>301</v>
      </c>
      <c r="D4" s="25" t="s">
        <v>302</v>
      </c>
      <c r="E4" s="25" t="s">
        <v>303</v>
      </c>
      <c r="F4" s="26" t="s">
        <v>304</v>
      </c>
      <c r="G4" s="25" t="s">
        <v>305</v>
      </c>
      <c r="H4" s="25" t="s">
        <v>46</v>
      </c>
      <c r="I4" s="25" t="s">
        <v>26</v>
      </c>
      <c r="J4" s="25" t="s">
        <v>26</v>
      </c>
      <c r="K4" s="25" t="s">
        <v>298</v>
      </c>
    </row>
    <row r="5" spans="1:11" ht="115.5">
      <c r="A5" s="25" t="s">
        <v>306</v>
      </c>
      <c r="B5" s="25" t="s">
        <v>307</v>
      </c>
      <c r="C5" s="25" t="s">
        <v>308</v>
      </c>
      <c r="D5" s="25" t="s">
        <v>309</v>
      </c>
      <c r="E5" s="25" t="s">
        <v>310</v>
      </c>
      <c r="F5" s="26" t="s">
        <v>311</v>
      </c>
      <c r="G5" s="25" t="s">
        <v>312</v>
      </c>
      <c r="H5" s="25" t="s">
        <v>46</v>
      </c>
      <c r="I5" s="25" t="s">
        <v>26</v>
      </c>
      <c r="J5" s="25" t="s">
        <v>26</v>
      </c>
      <c r="K5" s="25" t="s">
        <v>298</v>
      </c>
    </row>
    <row r="6" spans="1:11" ht="144.75">
      <c r="A6" s="25" t="s">
        <v>313</v>
      </c>
      <c r="B6" s="25" t="s">
        <v>314</v>
      </c>
      <c r="C6" s="25" t="s">
        <v>315</v>
      </c>
      <c r="D6" s="25" t="s">
        <v>173</v>
      </c>
      <c r="E6" s="25" t="s">
        <v>316</v>
      </c>
      <c r="F6" s="25" t="s">
        <v>317</v>
      </c>
      <c r="G6" s="25" t="s">
        <v>318</v>
      </c>
      <c r="H6" s="25" t="s">
        <v>46</v>
      </c>
      <c r="I6" s="25" t="s">
        <v>26</v>
      </c>
      <c r="J6" s="25" t="s">
        <v>26</v>
      </c>
      <c r="K6" s="25" t="s">
        <v>177</v>
      </c>
    </row>
    <row r="7" spans="1:11" ht="159">
      <c r="A7" s="25" t="s">
        <v>319</v>
      </c>
      <c r="B7" s="25" t="s">
        <v>320</v>
      </c>
      <c r="C7" s="25" t="s">
        <v>321</v>
      </c>
      <c r="D7" s="25" t="s">
        <v>173</v>
      </c>
      <c r="E7" s="25" t="s">
        <v>322</v>
      </c>
      <c r="F7" s="25" t="s">
        <v>323</v>
      </c>
      <c r="G7" s="25" t="s">
        <v>324</v>
      </c>
      <c r="H7" s="25" t="s">
        <v>46</v>
      </c>
      <c r="I7" s="25" t="s">
        <v>26</v>
      </c>
      <c r="J7" s="25" t="s">
        <v>26</v>
      </c>
      <c r="K7" s="25" t="s">
        <v>177</v>
      </c>
    </row>
    <row r="8" spans="1:11" ht="188.25">
      <c r="A8" s="25" t="s">
        <v>325</v>
      </c>
      <c r="B8" s="25" t="s">
        <v>326</v>
      </c>
      <c r="C8" s="25" t="s">
        <v>327</v>
      </c>
      <c r="D8" s="25" t="s">
        <v>328</v>
      </c>
      <c r="E8" s="25" t="s">
        <v>329</v>
      </c>
      <c r="F8" s="25" t="s">
        <v>175</v>
      </c>
      <c r="G8" s="25" t="s">
        <v>330</v>
      </c>
      <c r="H8" s="25" t="s">
        <v>46</v>
      </c>
      <c r="I8" s="25" t="s">
        <v>26</v>
      </c>
      <c r="J8" s="25" t="s">
        <v>26</v>
      </c>
      <c r="K8" s="25" t="s">
        <v>298</v>
      </c>
    </row>
    <row r="9" spans="1:11" ht="159">
      <c r="A9" s="25" t="s">
        <v>331</v>
      </c>
      <c r="B9" s="25" t="s">
        <v>332</v>
      </c>
      <c r="C9" s="25" t="s">
        <v>333</v>
      </c>
      <c r="D9" s="25" t="s">
        <v>173</v>
      </c>
      <c r="E9" s="25" t="s">
        <v>334</v>
      </c>
      <c r="F9" s="25" t="s">
        <v>175</v>
      </c>
      <c r="G9" s="25" t="s">
        <v>335</v>
      </c>
      <c r="H9" s="25" t="s">
        <v>46</v>
      </c>
      <c r="I9" s="25" t="s">
        <v>26</v>
      </c>
      <c r="J9" s="25" t="s">
        <v>26</v>
      </c>
      <c r="K9" s="25" t="s">
        <v>177</v>
      </c>
    </row>
    <row r="10" spans="1:11" ht="159">
      <c r="A10" s="25" t="s">
        <v>336</v>
      </c>
      <c r="B10" s="25" t="s">
        <v>337</v>
      </c>
      <c r="C10" s="25" t="s">
        <v>338</v>
      </c>
      <c r="D10" s="25" t="s">
        <v>173</v>
      </c>
      <c r="E10" s="25" t="s">
        <v>339</v>
      </c>
      <c r="F10" s="25" t="s">
        <v>175</v>
      </c>
      <c r="G10" s="25" t="s">
        <v>340</v>
      </c>
      <c r="H10" s="25" t="s">
        <v>46</v>
      </c>
      <c r="I10" s="25" t="s">
        <v>26</v>
      </c>
      <c r="J10" s="25" t="s">
        <v>26</v>
      </c>
      <c r="K10" s="25" t="s">
        <v>177</v>
      </c>
    </row>
    <row r="11" spans="1:11" ht="174">
      <c r="A11" s="25" t="s">
        <v>341</v>
      </c>
      <c r="B11" s="25" t="s">
        <v>243</v>
      </c>
      <c r="C11" s="25" t="s">
        <v>342</v>
      </c>
      <c r="D11" s="25" t="s">
        <v>173</v>
      </c>
      <c r="E11" s="25" t="s">
        <v>343</v>
      </c>
      <c r="F11" s="25" t="s">
        <v>175</v>
      </c>
      <c r="G11" s="25" t="s">
        <v>344</v>
      </c>
      <c r="H11" s="25" t="s">
        <v>46</v>
      </c>
      <c r="I11" s="25" t="s">
        <v>26</v>
      </c>
      <c r="J11" s="25" t="s">
        <v>26</v>
      </c>
      <c r="K11" s="25" t="s">
        <v>177</v>
      </c>
    </row>
    <row r="12" spans="1:11" ht="216.75">
      <c r="A12" s="25" t="s">
        <v>345</v>
      </c>
      <c r="B12" s="25" t="s">
        <v>248</v>
      </c>
      <c r="C12" s="25" t="s">
        <v>346</v>
      </c>
      <c r="D12" s="25" t="s">
        <v>347</v>
      </c>
      <c r="E12" s="25" t="s">
        <v>348</v>
      </c>
      <c r="F12" s="25" t="s">
        <v>349</v>
      </c>
      <c r="G12" s="25" t="s">
        <v>350</v>
      </c>
      <c r="H12" s="25" t="s">
        <v>46</v>
      </c>
      <c r="I12" s="25" t="s">
        <v>26</v>
      </c>
      <c r="J12" s="25" t="s">
        <v>26</v>
      </c>
      <c r="K12" s="25" t="s">
        <v>298</v>
      </c>
    </row>
    <row r="13" spans="1:11" ht="144.75">
      <c r="A13" s="25" t="s">
        <v>351</v>
      </c>
      <c r="B13" s="25" t="s">
        <v>352</v>
      </c>
      <c r="C13" s="25" t="s">
        <v>353</v>
      </c>
      <c r="D13" s="25" t="s">
        <v>166</v>
      </c>
      <c r="E13" s="25" t="s">
        <v>354</v>
      </c>
      <c r="F13" s="25" t="s">
        <v>355</v>
      </c>
      <c r="G13" s="25" t="s">
        <v>356</v>
      </c>
      <c r="H13" s="25" t="s">
        <v>46</v>
      </c>
      <c r="I13" s="25" t="s">
        <v>26</v>
      </c>
      <c r="J13" s="25" t="s">
        <v>26</v>
      </c>
      <c r="K13" s="25" t="s">
        <v>298</v>
      </c>
    </row>
    <row r="14" spans="1:11" ht="174">
      <c r="A14" s="25" t="s">
        <v>357</v>
      </c>
      <c r="B14" s="25" t="s">
        <v>358</v>
      </c>
      <c r="C14" s="25" t="s">
        <v>359</v>
      </c>
      <c r="D14" s="25" t="s">
        <v>360</v>
      </c>
      <c r="E14" s="25" t="s">
        <v>361</v>
      </c>
      <c r="F14" s="26" t="s">
        <v>362</v>
      </c>
      <c r="G14" s="25" t="s">
        <v>363</v>
      </c>
      <c r="H14" s="25" t="s">
        <v>46</v>
      </c>
      <c r="I14" s="25" t="s">
        <v>26</v>
      </c>
      <c r="J14" s="25" t="s">
        <v>26</v>
      </c>
      <c r="K14" s="25" t="s">
        <v>298</v>
      </c>
    </row>
    <row r="15" spans="1:11" ht="115.5">
      <c r="A15" s="25" t="s">
        <v>364</v>
      </c>
      <c r="B15" s="25" t="s">
        <v>50</v>
      </c>
      <c r="C15" s="25" t="s">
        <v>365</v>
      </c>
      <c r="D15" s="25" t="s">
        <v>366</v>
      </c>
      <c r="E15" s="25" t="s">
        <v>367</v>
      </c>
      <c r="F15" s="26" t="s">
        <v>368</v>
      </c>
      <c r="G15" s="25" t="s">
        <v>369</v>
      </c>
      <c r="H15" s="25" t="s">
        <v>46</v>
      </c>
      <c r="I15" s="25" t="s">
        <v>26</v>
      </c>
      <c r="J15" s="25" t="s">
        <v>26</v>
      </c>
      <c r="K15" s="25" t="s">
        <v>298</v>
      </c>
    </row>
    <row r="16" spans="1:11" ht="188.25">
      <c r="A16" s="25" t="s">
        <v>370</v>
      </c>
      <c r="B16" s="25" t="s">
        <v>371</v>
      </c>
      <c r="C16" s="25" t="s">
        <v>372</v>
      </c>
      <c r="D16" s="25" t="s">
        <v>373</v>
      </c>
      <c r="E16" s="25" t="s">
        <v>374</v>
      </c>
      <c r="F16" s="25" t="s">
        <v>375</v>
      </c>
      <c r="G16" s="25" t="s">
        <v>376</v>
      </c>
      <c r="H16" s="25" t="s">
        <v>46</v>
      </c>
      <c r="I16" s="25" t="s">
        <v>26</v>
      </c>
      <c r="J16" s="25" t="s">
        <v>26</v>
      </c>
      <c r="K16" s="25" t="s">
        <v>298</v>
      </c>
    </row>
    <row r="17" spans="1:11" ht="216.75">
      <c r="A17" s="25" t="s">
        <v>377</v>
      </c>
      <c r="B17" s="25" t="s">
        <v>378</v>
      </c>
      <c r="C17" s="25" t="s">
        <v>379</v>
      </c>
      <c r="D17" s="25" t="s">
        <v>380</v>
      </c>
      <c r="E17" s="25" t="s">
        <v>381</v>
      </c>
      <c r="F17" s="25" t="s">
        <v>382</v>
      </c>
      <c r="G17" s="25" t="s">
        <v>383</v>
      </c>
      <c r="H17" s="25" t="s">
        <v>46</v>
      </c>
      <c r="I17" s="25" t="s">
        <v>26</v>
      </c>
      <c r="J17" s="25" t="s">
        <v>26</v>
      </c>
      <c r="K17" s="25" t="s">
        <v>298</v>
      </c>
    </row>
    <row r="18" spans="1:11" ht="188.25">
      <c r="A18" s="25" t="s">
        <v>384</v>
      </c>
      <c r="B18" s="25" t="s">
        <v>385</v>
      </c>
      <c r="C18" s="25" t="s">
        <v>386</v>
      </c>
      <c r="D18" s="25" t="s">
        <v>387</v>
      </c>
      <c r="E18" s="25" t="s">
        <v>388</v>
      </c>
      <c r="F18" s="25" t="s">
        <v>389</v>
      </c>
      <c r="G18" s="25" t="s">
        <v>390</v>
      </c>
      <c r="H18" s="25" t="s">
        <v>46</v>
      </c>
      <c r="I18" s="25" t="s">
        <v>26</v>
      </c>
      <c r="J18" s="25" t="s">
        <v>26</v>
      </c>
      <c r="K18" s="25" t="s">
        <v>298</v>
      </c>
    </row>
    <row r="19" spans="1:11" ht="15"/>
    <row r="20" spans="1:11" ht="15"/>
    <row r="21" spans="1:11" ht="15"/>
    <row r="22" spans="1:11" ht="15"/>
    <row r="23" spans="1:11" ht="15"/>
    <row r="24" spans="1:11" ht="15"/>
    <row r="25" spans="1:11" ht="15"/>
    <row r="26" spans="1:11" ht="15"/>
    <row r="27" spans="1:11" ht="15"/>
    <row r="28" spans="1:11" ht="15"/>
    <row r="29" spans="1:11" ht="15"/>
    <row r="31" spans="1:11" ht="15"/>
  </sheetData>
  <mergeCells count="1">
    <mergeCell ref="A2:K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Đào Mạnh Quang</dc:creator>
  <cp:keywords/>
  <dc:description/>
  <cp:lastModifiedBy>Thuy Vu Thanh</cp:lastModifiedBy>
  <cp:revision/>
  <dcterms:created xsi:type="dcterms:W3CDTF">2026-07-09T08:47:21Z</dcterms:created>
  <dcterms:modified xsi:type="dcterms:W3CDTF">2026-07-10T09:56:01Z</dcterms:modified>
  <cp:category/>
  <cp:contentStatus/>
</cp:coreProperties>
</file>