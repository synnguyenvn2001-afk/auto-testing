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"/>
    </mc:Choice>
  </mc:AlternateContent>
  <xr:revisionPtr revIDLastSave="5" documentId="13_ncr:1_{324F69C1-843A-41B1-B2EC-D90A0D4A4A6D}" xr6:coauthVersionLast="47" xr6:coauthVersionMax="47" xr10:uidLastSave="{4E84D09A-42FE-4314-846F-F15952F18C1B}"/>
  <bookViews>
    <workbookView xWindow="-108" yWindow="-108" windowWidth="23256" windowHeight="12456" activeTab="1" xr2:uid="{00000000-000D-0000-FFFF-FFFF00000000}"/>
  </bookViews>
  <sheets>
    <sheet name="Tin tức quanh đây" sheetId="1" r:id="rId1"/>
    <sheet name="Tin pháp lý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7" i="3"/>
  <c r="E6" i="3"/>
  <c r="E5" i="3"/>
  <c r="E4" i="3"/>
  <c r="E7" i="1"/>
  <c r="E6" i="1"/>
  <c r="E5" i="1"/>
  <c r="E4" i="1"/>
</calcChain>
</file>

<file path=xl/sharedStrings.xml><?xml version="1.0" encoding="utf-8"?>
<sst xmlns="http://schemas.openxmlformats.org/spreadsheetml/2006/main" count="676" uniqueCount="477">
  <si>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</si>
  <si>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</si>
  <si>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</si>
  <si>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</si>
  <si>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</si>
  <si>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</si>
  <si>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</si>
  <si>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</si>
  <si>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</si>
  <si>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</si>
  <si>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</si>
  <si>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</si>
  <si>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</si>
  <si>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</si>
  <si>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</si>
  <si>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</si>
  <si>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</si>
  <si>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Màn Tin tức/Tin tức quanh đây                                                Đang ở màn Xem Chi tiết</t>
  </si>
  <si>
    <t>TC_NEWS_001</t>
  </si>
  <si>
    <t>Tin tức quanh đây</t>
  </si>
  <si>
    <t>Kiểm tra hiển thị mặc định danh sách tin tức</t>
  </si>
  <si>
    <t>Người dùng đang ở màn Chi tiết BĐS</t>
  </si>
  <si>
    <t>1. Mở Chi tiết BĐS
2. Cuộn đến section Tin tức
 3. Chọn tab “Tin tức quanh đây”</t>
  </si>
  <si>
    <t>Có ≥10 tin tức quanh đây</t>
  </si>
  <si>
    <t>Hiển thị mặc định 10 tin/card đầu tiên</t>
  </si>
  <si>
    <t>Not Run</t>
  </si>
  <si>
    <t>Happy case</t>
  </si>
  <si>
    <t>TC_NEWS_002</t>
  </si>
  <si>
    <t>Kiểm tra card tin tức quanh đây hiển thị đúng thông tin</t>
  </si>
  <si>
    <t>Đang ở section Tin tức quanh đây</t>
  </si>
  <si>
    <t>1. Quan sát từng card tin tức</t>
  </si>
  <si>
    <t>10 tin có đầy đủ dữ liệu</t>
  </si>
  <si>
    <t xml:space="preserve">Card hiển thị ảnh, thời gian, tiêu đề, mô tả ngắn, diện tích/giá </t>
  </si>
  <si>
    <t>TC_NEWS_003</t>
  </si>
  <si>
    <t>Điều hướng carousel sang phải</t>
  </si>
  <si>
    <t>Kiểm tra bấm mũi tên phải hiển thị thêm 10 tin mới</t>
  </si>
  <si>
    <t>Có &gt;10 tin tức quanh đây</t>
  </si>
  <si>
    <t>1. Ghi nhận 10 tin đang hiển thị
2. Click mũi tên sang phải</t>
  </si>
  <si>
    <t>20 tin tức quanh đây</t>
  </si>
  <si>
    <t>Hiển thị 10 tin mới hoàn toàn; không trùng với 10 tin trước đó</t>
  </si>
  <si>
    <t>TC_NEWS_004</t>
  </si>
  <si>
    <t>Điều hướng carousel sang phải nhiều lần</t>
  </si>
  <si>
    <t>Kiểm tra mỗi lần sang phải load thêm 10 tin mới</t>
  </si>
  <si>
    <t>Có &gt;20 tin tức quanh đây</t>
  </si>
  <si>
    <t>1. Click mũi tên phải lần 1
2. Click mũi tên phải lần 2</t>
  </si>
  <si>
    <t>30 tin tức quanh đây</t>
  </si>
  <si>
    <t>Mỗi lần click hiển thị đúng 10 tin mới; không trùng giữa các lượt</t>
  </si>
  <si>
    <t>TC_NEWS_005</t>
  </si>
  <si>
    <t>Không đủ 10 tin ở lượt cuối</t>
  </si>
  <si>
    <t>Kiểm tra lượt cuối khi còn &lt;10 tin</t>
  </si>
  <si>
    <t>Có 25 tin tức quanh đây</t>
  </si>
  <si>
    <t>1. Click mũi tên phải đến lượt cuối</t>
  </si>
  <si>
    <t>25 tin</t>
  </si>
  <si>
    <t>Lượt 1 hiển thị tin 1-10; lượt 2 hiển thị tin 11-20; lượt 3 hiển thị 5 tin còn lại; không hiển thị card rỗng</t>
  </si>
  <si>
    <t>Expectation</t>
  </si>
  <si>
    <t>TC_NEWS_006</t>
  </si>
  <si>
    <t>Ẩn mũi tên phải khi hết tin</t>
  </si>
  <si>
    <t>Kiểm tra hết dữ liệu carousel</t>
  </si>
  <si>
    <t>Đang ở lượt tin cuối</t>
  </si>
  <si>
    <t>1. Click sang phải đến hết danh sách</t>
  </si>
  <si>
    <t>20 tin hoặc 25 tin</t>
  </si>
  <si>
    <t>Mũi tên phải bị disable/ẩn khi không còn tin mới</t>
  </si>
  <si>
    <t>TC_NEWS_007</t>
  </si>
  <si>
    <t>Điều hướng sang trái</t>
  </si>
  <si>
    <t>Kiểm tra quay lại nhóm tin trước đó</t>
  </si>
  <si>
    <t>Đang ở nhóm tin thứ 2 trở đi</t>
  </si>
  <si>
    <t>1. Click mũi tên trái</t>
  </si>
  <si>
    <t>Đã xem nhóm tin 11-20</t>
  </si>
  <si>
    <t>Hiển thị lại đúng 10 tin của nhóm trước đó</t>
  </si>
  <si>
    <t>TC_NEWS_008</t>
  </si>
  <si>
    <t>Chống click nhanh mũi tên phải</t>
  </si>
  <si>
    <t>Kiểm tra người dùng click nhanh nhiều lần</t>
  </si>
  <si>
    <t>Có nhiều hơn 20 tin</t>
  </si>
  <si>
    <t>1. Click nhanh mũi tên phải nhiều lần liên tiếp</t>
  </si>
  <si>
    <t>30 tin</t>
  </si>
  <si>
    <t>Hệ thống chỉ xử lý theo lượt hợp lệ, không nhảy sai nhóm, không trùng card, không vỡ UI</t>
  </si>
  <si>
    <t>TC_NEWS_009</t>
  </si>
  <si>
    <t>Chuyển tab Tin tức</t>
  </si>
  <si>
    <t>Kiểm tra chuyển từ “Tin pháp lý” sang “Tin tức quanh đây”</t>
  </si>
  <si>
    <t>Section Tin tức có 2 tab</t>
  </si>
  <si>
    <t>1. Click “Tin pháp lý” 2. Click “Tin tức quanh đây”</t>
  </si>
  <si>
    <t>Có dữ liệu ở cả 2 tab</t>
  </si>
  <si>
    <t>Danh sách cập nhật đúng theo tab; tab active được highlight; “Tin tức quanh đây” hiển thị 10 tin mặc định</t>
  </si>
  <si>
    <t>TC_NEWS_010</t>
  </si>
  <si>
    <t>Reset carousel khi đổi tab</t>
  </si>
  <si>
    <t>Kiểm tra reset dữ liệu khi chuyển tab rồi quay lại</t>
  </si>
  <si>
    <t>Đã xem nhóm tin thứ 2 trở lên ở tab Tin tức quanh đây</t>
  </si>
  <si>
    <t>1. Mở tab "Tin tức quanh đây"
2. Click mũi tên phải để hiển thị nhóm tin 11-20
3. Chuyển sang tab "Tin pháp lý"
4. Quay lại tab "Tin tức quanh đây"</t>
  </si>
  <si>
    <t>Có ≥20 tin</t>
  </si>
  <si>
    <t>Hệ thống reset về nhóm 10 tin đầu tiên (1-10); không giữ nhóm tin 11-20; vị trí carousel trở về trạng thái mặc định</t>
  </si>
  <si>
    <t>TC_NEWS_011</t>
  </si>
  <si>
    <t>Click card tin tức</t>
  </si>
  <si>
    <t>Kiểm tra mở chi tiết tin tức</t>
  </si>
  <si>
    <t>Có card tin tức</t>
  </si>
  <si>
    <t>1. Click vào 1 card tin tức</t>
  </si>
  <si>
    <t>Tin “Quyết định 751/QĐ-TTPVH...”</t>
  </si>
  <si>
    <t>Mở popup/overlay Chi tiết tin tức; hiển thị breadcrumb, tiêu đề, thời gian, tab Tóm tắt/Chi tiết tin tức/Lượt đọc, Nguồn, nút Quay lại BDS/Lưu/Chia sẻ</t>
  </si>
  <si>
    <t>TC_NEWS_012</t>
  </si>
  <si>
    <t>Tab Tóm tắt</t>
  </si>
  <si>
    <t>Kiểm tra nội dung tab Tóm tắt</t>
  </si>
  <si>
    <t>Đang ở Chi tiết tin tức</t>
  </si>
  <si>
    <t>1. Click tab “Tóm tắt”</t>
  </si>
  <si>
    <t>Tin có nội dung tóm tắt</t>
  </si>
  <si>
    <t>Hiển thị nội dung tóm tắt của tin; tab Tóm tắt active</t>
  </si>
  <si>
    <t>TC_NEWS_013</t>
  </si>
  <si>
    <t>Tab Chi tiết tin tức</t>
  </si>
  <si>
    <t>Kiểm tra nội dung chi tiết bài viết</t>
  </si>
  <si>
    <t>1. Click tab “Chi tiết tin tức”</t>
  </si>
  <si>
    <t>Tin có nội dung chi tiết</t>
  </si>
  <si>
    <t>Hiển thị đầy đủ nội dung bài viết, ảnh trong bài, nguồn, lượt đọc</t>
  </si>
  <si>
    <t>TC_NEWS_014</t>
  </si>
  <si>
    <t>Quay lại BĐS</t>
  </si>
  <si>
    <t>Kiểm tra quay lại màn chi tiết BĐS từ chi tiết tin tức</t>
  </si>
  <si>
    <t>Đang mở Chi tiết tin tức</t>
  </si>
  <si>
    <t>1. Click “Quay lại bất động sản”</t>
  </si>
  <si>
    <t>Chi tiết tin tức đang mở</t>
  </si>
  <si>
    <t>Đóng chi tiết tin tức, quay lại màn Chi tiết BĐS, giữ nguyên vị trí section Tin tức</t>
  </si>
  <si>
    <t>TC_NEWS_015</t>
  </si>
  <si>
    <t>Không có tin tức quanh đây</t>
  </si>
  <si>
    <t>Kiểm tra trạng thái rỗng</t>
  </si>
  <si>
    <t>BĐS không có tin tức quanh đây</t>
  </si>
  <si>
    <t>1. Mở Chi tiết BĐS 2. Chọn tab “Tin tức quanh đây”</t>
  </si>
  <si>
    <t>API trả rỗng</t>
  </si>
  <si>
    <t>Hiển thị trạng thái không có dữ liệu</t>
  </si>
  <si>
    <t>TC_NEWS_016</t>
  </si>
  <si>
    <t>Lỗi tải tin tức</t>
  </si>
  <si>
    <t>Kiểm tra lỗi khi lấy danh sách tin tức</t>
  </si>
  <si>
    <t>API tin tức lỗi</t>
  </si>
  <si>
    <t>1. Mở section Tin tức</t>
  </si>
  <si>
    <t>API 500/timeout</t>
  </si>
  <si>
    <t>Hiển thị thông báo lỗi/nút “Thử lại”; không ảnh hưởng các section khác</t>
  </si>
  <si>
    <t>TC_NEWS_017</t>
  </si>
  <si>
    <t>Tin tức bị gỡ</t>
  </si>
  <si>
    <t>Kiểm tra click vào tin không còn tồn tại</t>
  </si>
  <si>
    <t>Card đang hiển thị nhưng tin đã bị gỡ</t>
  </si>
  <si>
    <t>1. Click card tin tức</t>
  </si>
  <si>
    <t>Tin bị xóa/404</t>
  </si>
  <si>
    <t>Hiển thị thông báo không tìm thấy tin tức và cho phép quay lại</t>
  </si>
  <si>
    <t>TC_NEWS_018</t>
  </si>
  <si>
    <t>Ảnh card lỗi tải</t>
  </si>
  <si>
    <t>Kiểm tra ảnh đại diện lỗi</t>
  </si>
  <si>
    <t>Tin có ảnh lỗi</t>
  </si>
  <si>
    <t>URL ảnh lỗi</t>
  </si>
  <si>
    <t>Hiển thị ảnh mặc định/placeholder; nội dung text vẫn hiển thị</t>
  </si>
  <si>
    <t>TC_NEWS_019</t>
  </si>
  <si>
    <t>Bấm lưu tin tức</t>
  </si>
  <si>
    <t>Kiểm tra action lưu trên card/chi tiết tin</t>
  </si>
  <si>
    <t>Người dùng đã đăng nhập</t>
  </si>
  <si>
    <t>1. Click icon Lưu trên tin tức</t>
  </si>
  <si>
    <t>Tin hợp lệ</t>
  </si>
  <si>
    <t>Tin được lưu vào dữ liệu của tôi mục Tin đã lưu; icon chuyển trạng thái đã lưu</t>
  </si>
  <si>
    <t>TC_NEWS_020</t>
  </si>
  <si>
    <t>Guest bấm lưu tin tức</t>
  </si>
  <si>
    <t>Kiểm tra user chưa đăng nhập lưu tin</t>
  </si>
  <si>
    <t>Người dùng chưa đăng nhập</t>
  </si>
  <si>
    <t>1. Click icon Lưu</t>
  </si>
  <si>
    <t>Điều hướng/hiển thị màn Đăng nhập; sau đăng nhập quay lại đúng trạng thái đang thao tác</t>
  </si>
  <si>
    <t>TC_NEWS_021</t>
  </si>
  <si>
    <t>Boundary dữ liệu</t>
  </si>
  <si>
    <t>Danh sách có đúng 10 tin</t>
  </si>
  <si>
    <t>Hiển thị đủ 10 tin, không hiển thị nút điều hướng phải</t>
  </si>
  <si>
    <t>TC_NEWS_022</t>
  </si>
  <si>
    <t>Danh sách có 11 tin</t>
  </si>
  <si>
    <t>Trang đầu hiển thị 10 tin, sang phải hiển thị duy nhất 1 tin còn lại</t>
  </si>
  <si>
    <t>TC_NEWS_023</t>
  </si>
  <si>
    <t>Danh sách có 20 tin</t>
  </si>
  <si>
    <t>Trang 1 hiển thị tin 1-10, trang 2 hiển thị tin 11-20, sau đó disable nút phải</t>
  </si>
  <si>
    <t>TC_NEWS_024</t>
  </si>
  <si>
    <t>Danh sách có 21 tin</t>
  </si>
  <si>
    <t>Trang 1 hiển thị 1-10, trang 2 hiển thị 11-20, trang 3 hiển thị 1 tin cuối cùng</t>
  </si>
  <si>
    <t>TC_NEWS_025</t>
  </si>
  <si>
    <t>Kiểm tra trùng dữ liệu</t>
  </si>
  <si>
    <t>Chuyển từ nhóm 1 sang nhóm 2</t>
  </si>
  <si>
    <t>10 tin của nhóm 2 phải hoàn toàn khác 10 tin của nhóm 1</t>
  </si>
  <si>
    <t>TC_NEWS_026</t>
  </si>
  <si>
    <t>Kiểm tra thứ tự dữ liệu</t>
  </si>
  <si>
    <t>Chuyển qua lại giữa các nhóm tin</t>
  </si>
  <si>
    <t>Thứ tự tin tức không thay đổi khi quay lại nhóm trước</t>
  </si>
  <si>
    <t>TC_NEWS_027</t>
  </si>
  <si>
    <t>Refresh màn hình</t>
  </si>
  <si>
    <t>Đang ở nhóm tin 11-20, F5 màn hình</t>
  </si>
  <si>
    <t>Sau khi load lại màn Chi tiết BĐS, section Tin tức quay về nhóm 10 tin đầu tiên</t>
  </si>
  <si>
    <t>TC_NEWS_028</t>
  </si>
  <si>
    <t>Mở chi tiết tin tức</t>
  </si>
  <si>
    <t>Đang ở nhóm tin 11-20, mở chi tiết 1 tin rồi đóng popup</t>
  </si>
  <si>
    <t>Quay lại section Tin tức vẫn giữ nguyên nhóm tin 11-20 đang xem</t>
  </si>
  <si>
    <t>TC_NEWS_LEGAL_001</t>
  </si>
  <si>
    <t>Tin pháp lý</t>
  </si>
  <si>
    <t>Kiểm tra hiển thị mặc định tab Tin pháp lý</t>
  </si>
  <si>
    <t>User đang ở màn Chi tiết BĐS</t>
  </si>
  <si>
    <t xml:space="preserve">1. Cuộn đến section Tin tức
2. Quan sát </t>
  </si>
  <si>
    <t>Có ≥10 tin pháp lý</t>
  </si>
  <si>
    <t>Tab “Tin pháp lý” active - mặc định hightlight; hiển thị mặc định 10 tin/card đầu tiên</t>
  </si>
  <si>
    <t>TC_NEWS_LEGAL_002</t>
  </si>
  <si>
    <t>Card tin pháp lý</t>
  </si>
  <si>
    <t>Kiểm tra nội dung card</t>
  </si>
  <si>
    <t>Đang ở tab Tin pháp lý</t>
  </si>
  <si>
    <t>1. Quan sát các card đang hiển thị</t>
  </si>
  <si>
    <t>Tin có ngày, tiêu đề</t>
  </si>
  <si>
    <t>Card hiển thị đúng ngày đăng và tiêu đề tin; không vỡ layout khi tiêu đề dài</t>
  </si>
  <si>
    <t>TC_NEWS_LEGAL_003</t>
  </si>
  <si>
    <t>Điều hướng phải</t>
  </si>
  <si>
    <t>Có ≥20 tin pháp lý</t>
  </si>
  <si>
    <t>1. Ghi nhận 10 tin đầu
2. Click mũi tên phải</t>
  </si>
  <si>
    <t>20 tin pháp lý</t>
  </si>
  <si>
    <t>Hiển thị 10 tin mới hoàn toàn, không trùng với 10 tin trước</t>
  </si>
  <si>
    <t>TC_NEWS_LEGAL_004</t>
  </si>
  <si>
    <t>Điều hướng phải nhiều lần</t>
  </si>
  <si>
    <t>Kiểm tra mỗi lần bấm phải load nhóm 10 tin mới</t>
  </si>
  <si>
    <t>Có ≥30 tin pháp lý</t>
  </si>
  <si>
    <t>30 tin pháp lý</t>
  </si>
  <si>
    <t>Lần 1 hiển thị tin 11-20; lần 2 hiển thị tin 21-30; không trùng giữa các nhóm</t>
  </si>
  <si>
    <t>TC_NEWS_LEGAL_005</t>
  </si>
  <si>
    <t>Lượt cuối &lt;10 tin</t>
  </si>
  <si>
    <t>Kiểm tra khi số tin còn lại nhỏ hơn 10</t>
  </si>
  <si>
    <t>Có 25 tin pháp lý</t>
  </si>
  <si>
    <t>Nhóm cuối hiển thị 5 tin còn lại; không hiển thị card rỗng</t>
  </si>
  <si>
    <t>TC_NEWS_LEGAL_006</t>
  </si>
  <si>
    <t>Hết dữ liệu</t>
  </si>
  <si>
    <t>Kiểm tra trạng thái mũi tên phải khi hết tin</t>
  </si>
  <si>
    <t>Đang ở nhóm tin cuối</t>
  </si>
  <si>
    <t>1. Quan sát mũi tên phải</t>
  </si>
  <si>
    <t>Không còn tin mới</t>
  </si>
  <si>
    <t xml:space="preserve">Mũi tên phải bị ẩn </t>
  </si>
  <si>
    <t>TC_NEWS_LEGAL_007</t>
  </si>
  <si>
    <t>Điều hướng trái</t>
  </si>
  <si>
    <t>Kiểm tra quay lại nhóm tin trước</t>
  </si>
  <si>
    <t>Đã xem nhóm 11-20</t>
  </si>
  <si>
    <t>Hiển thị lại đúng nhóm 10 tin trước đó</t>
  </si>
  <si>
    <t>TC_NEWS_LEGAL_008</t>
  </si>
  <si>
    <t>Hover card</t>
  </si>
  <si>
    <t>Kiểm tra highlight card khi rê chuột</t>
  </si>
  <si>
    <t>1. Di chuột vào 1 card tin pháp lý</t>
  </si>
  <si>
    <t>Card “Nghị quyết 11/2026/NQ-HĐND...”</t>
  </si>
  <si>
    <t>Card được highlight như ảnh: nổi bật hơn card khác, có shadow/viền/trạng thái hover theo thiết kế</t>
  </si>
  <si>
    <t>TC_NEWS_LEGAL_009</t>
  </si>
  <si>
    <t>Rời chuột khỏi card</t>
  </si>
  <si>
    <t>Kiểm tra bỏ trạng thái highlight</t>
  </si>
  <si>
    <t>Card đang hover</t>
  </si>
  <si>
    <t>1. Di chuột ra ngoài card</t>
  </si>
  <si>
    <t>Card đang highlight</t>
  </si>
  <si>
    <t>Card trở về trạng thái bình thường</t>
  </si>
  <si>
    <t>TC_NEWS_LEGAL_010</t>
  </si>
  <si>
    <t>Click card</t>
  </si>
  <si>
    <t>1. Click vào 1 card tin pháp lý</t>
  </si>
  <si>
    <t>Tin “Quyết định 751/QĐ-TTPVHCC...”</t>
  </si>
  <si>
    <t>Mở overlay Chi tiết tin tức- mặc định; hiển thị breadcrumb, tiêu đề, thời gian, tab “Tóm tắt”, “Chi tiết tin tức”, lượt đọc, nguồn, tag nếu có</t>
  </si>
  <si>
    <t>TC_NEWS_LEGAL_011</t>
  </si>
  <si>
    <t>Kiểm tra nội dung mặc định khi mở chi tiết tin</t>
  </si>
  <si>
    <t>Đã mở Chi tiết tin tức</t>
  </si>
  <si>
    <t>1. Quan sát tab đang active</t>
  </si>
  <si>
    <t>Tab “Tóm tắt” active; hiển thị nội dung tóm tắt, lượt đọc, nguồn, tag nếu có</t>
  </si>
  <si>
    <t>TC_NEWS_LEGAL_012</t>
  </si>
  <si>
    <t>Kiểm tra chuyển sang nội dung chi tiết</t>
  </si>
  <si>
    <t xml:space="preserve">Tin có nội dung chi tiết </t>
  </si>
  <si>
    <t>Hiển thị đầy đủ nội dung bài viết, ảnh trong bài, nguồn, tag; tab “Chi tiết tin tức” active</t>
  </si>
  <si>
    <t>TC_NEWS_LEGAL_013</t>
  </si>
  <si>
    <t>Kiểm tra quay lại màn Chi tiết BĐS</t>
  </si>
  <si>
    <t>Overlay chi tiết tin đang mở</t>
  </si>
  <si>
    <t>Đóng overlay Chi tiết tin tức; quay lại màn Chi tiết BĐS đúng vị trí section Tin tức</t>
  </si>
  <si>
    <t>TC_NEWS_LEGAL_014</t>
  </si>
  <si>
    <t>Đổi tab rồi quay lại</t>
  </si>
  <si>
    <t>Kiểm tra reset tab Tin pháp lý</t>
  </si>
  <si>
    <t>Đang ở nhóm tin 11-20 của Tin pháp lý</t>
  </si>
  <si>
    <t>1. Chuyển sang “Tin tức quanh đây” 2. Quay lại “Tin pháp lý”</t>
  </si>
  <si>
    <t>Tab Tin pháp lý reset về 10 tin đầu tiên</t>
  </si>
  <si>
    <t>TC_NEWS_LEGAL_015</t>
  </si>
  <si>
    <t>Click nhanh mũi tên phải</t>
  </si>
  <si>
    <t>Kiểm tra chống thao tác liên tục</t>
  </si>
  <si>
    <t>1. Click nhanh mũi tên phải nhiều lần</t>
  </si>
  <si>
    <t>Nhiều nhóm tin</t>
  </si>
  <si>
    <t>Không load trùng, không nhảy sai nhóm, không vỡ UI; chỉ hiển thị nhóm tin hợp lệ</t>
  </si>
  <si>
    <t>TC_NEWS_LEGAL_016</t>
  </si>
  <si>
    <t>Không có tin pháp lý</t>
  </si>
  <si>
    <t>1. Mở tab Tin pháp lý</t>
  </si>
  <si>
    <t>Hiển thị trạng thái không có dữ liệu hoặc ẩn section theo UI thống nhất</t>
  </si>
  <si>
    <t>TC_NEWS_LEGAL_017</t>
  </si>
  <si>
    <t>Lỗi tải tin pháp lý</t>
  </si>
  <si>
    <t>Kiểm tra lỗi khi lấy danh sách tin</t>
  </si>
  <si>
    <t>API lỗi/timeout</t>
  </si>
  <si>
    <t>Hiển thị thông báo lỗi; không ảnh hưởng các section khác</t>
  </si>
  <si>
    <t>TC_NEWS_LEGAL_018</t>
  </si>
  <si>
    <t>Tin bị gỡ</t>
  </si>
  <si>
    <t>Kiểm tra click tin không còn tồn tại</t>
  </si>
  <si>
    <t>1. Click card tin pháp lý</t>
  </si>
  <si>
    <t>Tin 404/xóa</t>
  </si>
  <si>
    <t xml:space="preserve">Hiển thị tin , khi người dùng click vào nguồn sẽ  chuyển đến trang nguồn- thông báo không tìm thấy tin tức </t>
  </si>
  <si>
    <t>TC_NEWS_LEGAL_019</t>
  </si>
  <si>
    <t>Boundary đúng 10 tin</t>
  </si>
  <si>
    <t>Kiểm tra danh sách có đúng 10 tin</t>
  </si>
  <si>
    <t>Có đúng 10 tin pháp lý</t>
  </si>
  <si>
    <t>10 tin</t>
  </si>
  <si>
    <t>Hiển thị đủ 10 tin; không hiển thị/disable mũi tên phải</t>
  </si>
  <si>
    <t>TC_NEWS_LEGAL_020</t>
  </si>
  <si>
    <t>Boundary 11 tin</t>
  </si>
  <si>
    <t>Kiểm tra danh sách có 11 tin</t>
  </si>
  <si>
    <t>Có 11 tin pháp lý</t>
  </si>
  <si>
    <t>1. Mở tab 2. Click mũi tên phải</t>
  </si>
  <si>
    <t>11 tin</t>
  </si>
  <si>
    <t>Nhóm đầu hiển thị 10 tin; nhóm sau hiển thị 1 tin còn lại, k hiển thị nút điều hướng phải</t>
  </si>
  <si>
    <t>Chức năng</t>
  </si>
  <si>
    <t>Mô tả</t>
  </si>
  <si>
    <t>Điều kiện tiên quyết</t>
  </si>
  <si>
    <t>Các bước thực hiện</t>
  </si>
  <si>
    <t>Dữ liệu test</t>
  </si>
  <si>
    <t>Kết quả mong muốn</t>
  </si>
  <si>
    <t>Kết quả</t>
  </si>
  <si>
    <t>TC_NEWS_LEGAL_021</t>
  </si>
  <si>
    <t>Kiểm tra card tiêu đề dài</t>
  </si>
  <si>
    <t>1. Quan sát card có tiêu đề dài</t>
  </si>
  <si>
    <t>Tiêu đề &gt; 2 dòng</t>
  </si>
  <si>
    <t>Tiêu đề được cắt bằng dấu “...” hoặc xuống dòng đúng UI; không tràn card</t>
  </si>
  <si>
    <t>TC_NEWS_LEGAL_022</t>
  </si>
  <si>
    <t>Kiểm tra định dạng ngày</t>
  </si>
  <si>
    <t>1. Quan sát ngày trên card</t>
  </si>
  <si>
    <t>Ngày hiển thị đúng định dạng DD/MM/YYYY</t>
  </si>
  <si>
    <t>TC_NEWS_LEGAL_023</t>
  </si>
  <si>
    <t>Kiểm tra thứ tự sắp xếp</t>
  </si>
  <si>
    <t>Có nhiều tin pháp lý</t>
  </si>
  <si>
    <t>1. Mở tab Tin pháp lý
2. So sánh ngày các card</t>
  </si>
  <si>
    <t>Tin có ngày khác nhau</t>
  </si>
  <si>
    <t>Tin mới hơn hiển thị trước tin cũ hơn</t>
  </si>
  <si>
    <t>TC_NEWS_LEGAL_024</t>
  </si>
  <si>
    <t>Kiểm tra card không có ngày</t>
  </si>
  <si>
    <t>API trả tin thiếu ngày</t>
  </si>
  <si>
    <t>Tin thiếu publishedDate</t>
  </si>
  <si>
    <r>
      <t>Card vẫn hiển thị tiêu đề; ngày hiển thị “—”</t>
    </r>
    <r>
      <rPr>
        <sz val="11"/>
        <color rgb="FFFF0000"/>
        <rFont val="Arial"/>
        <family val="2"/>
      </rPr>
      <t xml:space="preserve">
1 tin vẫn chấp nhận được , nhiều tin thì xem lại</t>
    </r>
  </si>
  <si>
    <t>TC_NEWS_LEGAL_025</t>
  </si>
  <si>
    <t>Kiểm tra card không có tiêu đề</t>
  </si>
  <si>
    <t>API trả tin thiếu title</t>
  </si>
  <si>
    <t>Tin thiếu title</t>
  </si>
  <si>
    <t>Hệ thống không được hiển thị card không có tiêu đề. Nếu card vẫn được render mà không có tiêu đề =&gt; ghi nhận BUG dữ liệu/BUG hiển thị</t>
  </si>
  <si>
    <t>TC_NEWS_LEGAL_026</t>
  </si>
  <si>
    <t>Kiểm tra chỉ card được hover mới highlight</t>
  </si>
  <si>
    <t>Đang có nhiều card</t>
  </si>
  <si>
    <t>1. Hover vào card thứ 1
2. Quan sát các card khác</t>
  </si>
  <si>
    <t>Danh sách 10 card</t>
  </si>
  <si>
    <t>Chỉ card đang hover được highlight; các card khác giữ trạng thái bình thường</t>
  </si>
  <si>
    <t>TC_NEWS_LEGAL_027</t>
  </si>
  <si>
    <t>Kiểm tra hover sau khi chuyển nhóm tin</t>
  </si>
  <si>
    <t>Đang ở nhóm tin thứ 2</t>
  </si>
  <si>
    <t>1. Click mũi tên phải
2. Hover vào card bất kỳ</t>
  </si>
  <si>
    <t>Nhóm tin 11-20</t>
  </si>
  <si>
    <t>Card ở nhóm mới vẫn highlight đúng như thiết kế</t>
  </si>
  <si>
    <t>TC_NEWS_LEGAL_028</t>
  </si>
  <si>
    <t>Kiểm tra click đúng card đang hover</t>
  </si>
  <si>
    <t>Đang hover 1 card</t>
  </si>
  <si>
    <t>1. Hover card A
2. Click card A</t>
  </si>
  <si>
    <t>Card A</t>
  </si>
  <si>
    <t>Mở chi tiết đúng tin của card A, không mở nhầm tin khác</t>
  </si>
  <si>
    <t>TC_NEWS_LEGAL_029</t>
  </si>
  <si>
    <t>Kiểm tra double click card</t>
  </si>
  <si>
    <t>1. Double click vào 1 card</t>
  </si>
  <si>
    <t>Chỉ mở 1 overlay chi tiết tin tức; không mở nhiều popup/không call trùng</t>
  </si>
  <si>
    <t>TC_NEWS_LEGAL_030</t>
  </si>
  <si>
    <t>Chi tiết tin tức</t>
  </si>
  <si>
    <t>Kiểm tra breadcrumb</t>
  </si>
  <si>
    <t>Đã mở chi tiết tin pháp lý</t>
  </si>
  <si>
    <t>1. Quan sát breadcrumb</t>
  </si>
  <si>
    <t>Hà Nội &gt; Bắc Từ Liêm &gt; ... &gt; Chi tiết tin tức</t>
  </si>
  <si>
    <t>Breadcrumb hiển thị đúng luồng điều hướng và đúng tên khu vực/BĐS liên quan</t>
  </si>
  <si>
    <t>TC_NEWS_LEGAL_031</t>
  </si>
  <si>
    <t>Kiểm tra tiêu đề chi tiết</t>
  </si>
  <si>
    <t>Đã click card tin pháp lý</t>
  </si>
  <si>
    <t>1. So sánh tiêu đề card và tiêu đề chi tiết</t>
  </si>
  <si>
    <t>Tin “Quyết định 751...”</t>
  </si>
  <si>
    <t xml:space="preserve">Tiêu đề trong chi tiết hiển thị đầy đủ tiêu đề và khớp với tin đã click </t>
  </si>
  <si>
    <t>TC_NEWS_LEGAL_032</t>
  </si>
  <si>
    <t>Kiểm tra thời gian chi tiết</t>
  </si>
  <si>
    <t>Đã mở chi tiết tin</t>
  </si>
  <si>
    <t>1. Quan sát thời gian dưới tiêu đề</t>
  </si>
  <si>
    <t>Thứ Tư, 03/06/2026, 16:35</t>
  </si>
  <si>
    <t>Thời gian hiển thị đúng dữ liệu và đúng định dạng theo thiết kế</t>
  </si>
  <si>
    <t>TC_NEWS_LEGAL_033</t>
  </si>
  <si>
    <t>Kiểm tra nguồn tin</t>
  </si>
  <si>
    <t>Đã mở tab Tóm tắt</t>
  </si>
  <si>
    <t>1. Cuộn cuối nội dung
 2. Quan sát nguồn</t>
  </si>
  <si>
    <t>Nguồn: THUVIENNHADAT.VN</t>
  </si>
  <si>
    <t>Hiển thị đúng nguồn tin</t>
  </si>
  <si>
    <t>TC_NEWS_LEGAL_034</t>
  </si>
  <si>
    <t>Kiểm tra lượt đọc</t>
  </si>
  <si>
    <t>1. Quan sát cuối nội dung</t>
  </si>
  <si>
    <t>Lượt đọc: 20</t>
  </si>
  <si>
    <t>Hiển thị đúng lượt đọc; không hiển thị số âm/null</t>
  </si>
  <si>
    <t>TC_NEWS_LEGAL_036</t>
  </si>
  <si>
    <t>Kiểm tra chuyển tab không mất vị trí overlay</t>
  </si>
  <si>
    <t>Đang ở chi tiết tin tức</t>
  </si>
  <si>
    <t>1. Click “Chi tiết tin tức”
2. Click lại “Tóm tắt”</t>
  </si>
  <si>
    <t>Tin có đủ 2 tab</t>
  </si>
  <si>
    <t>Nội dung đổi đúng tab; overlay không đóng; tiêu đề vẫn giữ nguyên</t>
  </si>
  <si>
    <t>TC_NEWS_LEGAL_037</t>
  </si>
  <si>
    <t>Kiểm tra ảnh trong nội dung lỗi tải</t>
  </si>
  <si>
    <t>Tab Chi tiết tin tức có ảnh</t>
  </si>
  <si>
    <t>1. Mở tab Chi tiết tin tức</t>
  </si>
  <si>
    <t>Hiển thị placeholder ảnh; nội dung chữ vẫn hiển thị</t>
  </si>
  <si>
    <t>TC_NEWS_LEGAL_038</t>
  </si>
  <si>
    <t>Quay lại</t>
  </si>
  <si>
    <t>Kiểm tra quay lại sau khi mở từ nhóm tin 11-20</t>
  </si>
  <si>
    <t>Đang ở nhóm tin 11-20</t>
  </si>
  <si>
    <t>1. Click card bất kỳ 2. Click “Quay lại bất động sản”</t>
  </si>
  <si>
    <t>Quay lại màn Chi tiết BĐS và giữ nhóm tin 11-20 đang xem</t>
  </si>
  <si>
    <t>TC_NEWS_LEGAL_039</t>
  </si>
  <si>
    <t>Refresh</t>
  </si>
  <si>
    <t>Kiểm tra refresh khi đang ở chi tiết tin tức</t>
  </si>
  <si>
    <t>Đang mở overlay chi tiết tin</t>
  </si>
  <si>
    <t>1. Refresh trình duyệt</t>
  </si>
  <si>
    <t>URL/State chi tiết tin</t>
  </si>
  <si>
    <t>Cần confirm: sau refresh giữ chi tiết tin hay quay về Chi tiết BĐS mặc định</t>
  </si>
  <si>
    <t>TC_NEWS_LEGAL_040</t>
  </si>
  <si>
    <t>Đóng overlay</t>
  </si>
  <si>
    <t>Kiểm tra click vùng ngoài overlay</t>
  </si>
  <si>
    <t>Đang mở chi tiết tin tức</t>
  </si>
  <si>
    <t>1. Click vùng nền ngoài overlay</t>
  </si>
  <si>
    <t>Overlay đang mở</t>
  </si>
  <si>
    <t xml:space="preserve">Đóng overlay </t>
  </si>
  <si>
    <t>TC_NEWS_LEGAL_041</t>
  </si>
  <si>
    <t>Lưu tin</t>
  </si>
  <si>
    <t>Kiểm tra lưu tin trong chi tiết</t>
  </si>
  <si>
    <t>User đã đăng nhập</t>
  </si>
  <si>
    <t>1. Mở chi tiết tin
2. Click “Lưu”</t>
  </si>
  <si>
    <t>Tin được lưu; icon chuyển trạng thái đã lưu</t>
  </si>
  <si>
    <t>TC_NEWS_LEGAL_042</t>
  </si>
  <si>
    <t>Guest lưu tin</t>
  </si>
  <si>
    <t>Kiểm tra user chưa login bấm lưu</t>
  </si>
  <si>
    <t>User chưa đăng nhập</t>
  </si>
  <si>
    <t>1. Mở chi tiết tin
 2. Click “Lưu”</t>
  </si>
  <si>
    <t>Hiển thị popub" Vui lòng đăng nhập để có thể lưu tin"</t>
  </si>
  <si>
    <t>TC_NEWS_LEGAL_043</t>
  </si>
  <si>
    <t>Chia sẻ tin</t>
  </si>
  <si>
    <t>Kiểm tra chia sẻ chi tiết tin</t>
  </si>
  <si>
    <t>1. Click “Chia sẻ”</t>
  </si>
  <si>
    <t xml:space="preserve">Mở popub chia se, thông tin link sẽ là link bài viết </t>
  </si>
  <si>
    <t>TC_NEWS_LEGAL_045</t>
  </si>
  <si>
    <t>Lỗi tải chi tiết tin</t>
  </si>
  <si>
    <t>Kiểm tra API chi tiết lỗi</t>
  </si>
  <si>
    <t>Click card tin pháp lý</t>
  </si>
  <si>
    <t>1. Click card</t>
  </si>
  <si>
    <t>API chi tiết 500/timeout</t>
  </si>
  <si>
    <t>Hiển thị trắng nội dung</t>
  </si>
  <si>
    <t>TC_NEWS_LEGAL_047</t>
  </si>
  <si>
    <t>Tin pháp lý theo BĐS khác</t>
  </si>
  <si>
    <t>Kiểm tra đổi BĐS reset danh sách tin</t>
  </si>
  <si>
    <t>Đang xem BĐS A ở nhóm tin 11-20</t>
  </si>
  <si>
    <t>1. Mở Chi tiết BĐS B
2. Cuộn đến Tin pháp lý</t>
  </si>
  <si>
    <t>BĐS B có tin pháp lý</t>
  </si>
  <si>
    <t>Tab Tin pháp lý của BĐS B hiển thị 10 tin đầu tiên của BĐS B</t>
  </si>
  <si>
    <t> </t>
  </si>
  <si>
    <t>TC_NEWS_LEGAL_048</t>
  </si>
  <si>
    <t>Không trùng tin giữa pháp lý và quanh đây</t>
  </si>
  <si>
    <t>Kiểm tra dữ liệu 2 tab độc lập</t>
  </si>
  <si>
    <t>Có dữ liệu cả 2 tab</t>
  </si>
  <si>
    <t>1. Ghi nhận 10 tin pháp lý
 2. Chuyển sang Tin tức quanh đây</t>
  </si>
  <si>
    <t>2 nhóm tin</t>
  </si>
  <si>
    <t>Dữ liệu hiển thị theo đúng tab; không bị lẫn dữ liệu sai loại</t>
  </si>
  <si>
    <t>TC_NEWS_LEGAL_049</t>
  </si>
  <si>
    <t>Kiểm tra tab mặc định khi click card Tin pháp lý</t>
  </si>
  <si>
    <t>User đang ở màn Chi tiết BĐS, tab “Tin pháp lý” có dữ liệu</t>
  </si>
  <si>
    <t>1. Cuộn đến section Tin tức 2. Chọn tab “Tin pháp lý” 3. Click vào 1 card tin pháp lý</t>
  </si>
  <si>
    <t>Tin pháp lý hợp lệ</t>
  </si>
  <si>
    <r>
      <t xml:space="preserve">Mở overlay Chi tiết tin tức; tab </t>
    </r>
    <r>
      <rPr>
        <b/>
        <sz val="11"/>
        <color rgb="FF000000"/>
        <rFont val="Arial"/>
      </rPr>
      <t>“Chi tiết tin tức”</t>
    </r>
    <r>
      <rPr>
        <sz val="11"/>
        <color rgb="FF000000"/>
        <rFont val="Arial"/>
      </rPr>
      <t xml:space="preserve"> được active mặc định; nội dung chi tiết bài viết hiển thị ngay, không mặc định ở tab “Tóm tắt”</t>
    </r>
  </si>
  <si>
    <t>TC_NEWS_LEGAL_050</t>
  </si>
  <si>
    <t>Kiểm tra chuyển từ tab mặc định sang Tóm tắt</t>
  </si>
  <si>
    <t>Đã mở Chi tiết tin tức từ card Tin pháp lý</t>
  </si>
  <si>
    <t>1. Quan sát tab mặc định 2. Click tab “Tóm tắt”</t>
  </si>
  <si>
    <t>Tin có đủ nội dung chi tiết và tóm tắt</t>
  </si>
  <si>
    <t>Ban đầu tab “Chi tiết tin tức” active; sau khi click “Tóm tắt”, nội dung đổi sang tóm tắt và tab “Tóm tắt” active</t>
  </si>
  <si>
    <t>TC_NEWS_LEGAL_051</t>
  </si>
  <si>
    <t>Kiểm tra mở lại card khác vẫn mặc định tab Chi tiết tin tức</t>
  </si>
  <si>
    <t>Đã từng mở/đóng chi tiết tin tức</t>
  </si>
  <si>
    <t>1. Quay lại màn Chi tiết BĐS 2. Click card Tin pháp lý khác</t>
  </si>
  <si>
    <t>Card tin pháp lý khác</t>
  </si>
  <si>
    <r>
      <t xml:space="preserve">Overlay mở đúng tin được chọn; tab </t>
    </r>
    <r>
      <rPr>
        <b/>
        <sz val="11"/>
        <color rgb="FF000000"/>
        <rFont val="Arial"/>
      </rPr>
      <t>“Chi tiết tin tức”</t>
    </r>
    <r>
      <rPr>
        <sz val="11"/>
        <color rgb="FF000000"/>
        <rFont val="Arial"/>
      </rPr>
      <t xml:space="preserve"> vẫn active mặc định</t>
    </r>
  </si>
  <si>
    <t>TC_NEWS_LEGAL_052</t>
  </si>
  <si>
    <t>Kiểm tra không giữ tab Tóm tắt từ lần mở trước</t>
  </si>
  <si>
    <t>Lần trước user đã chuyển sang tab “Tóm tắt” rồi quay lại</t>
  </si>
  <si>
    <t>1. Mở 1 card tin pháp lý
2. Chuyển sang tab “Tóm tắt” 3. Click “Quay lại bất động sản”
4. Click lại card tin pháp lý khác</t>
  </si>
  <si>
    <r>
      <t xml:space="preserve">Lần mở mới không giữ tab “Tóm tắt”; hệ thống mặc định active tab </t>
    </r>
    <r>
      <rPr>
        <b/>
        <sz val="11"/>
        <color rgb="FF000000"/>
        <rFont val="Arial"/>
      </rPr>
      <t>“Chi tiết tin tức”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</si>
</sst>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rial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1"/>
      <color rgb="FF000000"/>
      <name val="Arial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1" fillId="0" borderId="0" xfId="0" applyFont="1"/>
    <xf numFmtId="0" fontId="11" fillId="4" borderId="9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4" fontId="11" fillId="0" borderId="0" xfId="0" applyNumberFormat="1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0" fontId="11" fillId="5" borderId="0" xfId="0" applyFont="1" applyFill="1" applyBorder="1" applyAlignment="1">
      <alignment wrapText="1"/>
    </xf>
    <xf numFmtId="0" fontId="11" fillId="0" borderId="0" xfId="0" applyFont="1" applyFill="1" applyBorder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01BDB4-5B01-446F-9F1D-09AEFABCE3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B11" sqref="B11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7" t="s">
        <v>0</v>
      </c>
      <c r="B1" s="18"/>
      <c r="C1" s="18"/>
      <c r="D1" s="18"/>
      <c r="E1" s="19"/>
      <c r="F1" s="1"/>
      <c r="G1" s="1"/>
      <c r="H1" s="1"/>
      <c r="I1" s="1"/>
      <c r="J1" s="1"/>
      <c r="K1" s="1"/>
    </row>
    <row r="2" spans="1:11">
      <c r="A2" s="20"/>
      <c r="B2" s="21"/>
      <c r="C2" s="21"/>
      <c r="D2" s="21"/>
      <c r="E2" s="22"/>
      <c r="F2" s="1"/>
      <c r="G2" s="1"/>
      <c r="H2" s="1"/>
      <c r="I2" s="1"/>
      <c r="J2" s="1"/>
      <c r="K2" s="1"/>
    </row>
    <row r="3" spans="1:11">
      <c r="A3" s="23"/>
      <c r="B3" s="24"/>
      <c r="C3" s="24"/>
      <c r="D3" s="24"/>
      <c r="E3" s="25"/>
      <c r="F3" s="1"/>
      <c r="G3" s="1"/>
      <c r="H3" s="1"/>
      <c r="I3" s="1"/>
      <c r="J3" s="1"/>
      <c r="K3" s="1"/>
    </row>
    <row r="4" spans="1:11">
      <c r="A4" s="26" t="s">
        <v>1</v>
      </c>
      <c r="B4" s="27"/>
      <c r="C4" s="28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26" t="s">
        <v>3</v>
      </c>
      <c r="B5" s="27"/>
      <c r="C5" s="28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26" t="s">
        <v>4</v>
      </c>
      <c r="B6" s="27"/>
      <c r="C6" s="28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26" t="s">
        <v>5</v>
      </c>
      <c r="B7" s="27"/>
      <c r="C7" s="28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57.75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13.9" customHeight="1">
      <c r="A10" s="14" t="s">
        <v>17</v>
      </c>
      <c r="B10" s="15"/>
      <c r="C10" s="15"/>
      <c r="D10" s="15"/>
      <c r="E10" s="15"/>
      <c r="F10" s="15"/>
      <c r="G10" s="15"/>
      <c r="H10" s="15"/>
      <c r="I10" s="15"/>
      <c r="J10" s="15"/>
      <c r="K10" s="16"/>
    </row>
    <row r="11" spans="1:11" ht="43.5">
      <c r="A11" s="10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/>
      <c r="J11" s="10"/>
      <c r="K11" s="10" t="s">
        <v>26</v>
      </c>
    </row>
    <row r="12" spans="1:11" ht="57.75">
      <c r="A12" s="10" t="s">
        <v>27</v>
      </c>
      <c r="B12" s="10" t="s">
        <v>19</v>
      </c>
      <c r="C12" s="10" t="s">
        <v>28</v>
      </c>
      <c r="D12" s="10" t="s">
        <v>29</v>
      </c>
      <c r="E12" s="10" t="s">
        <v>30</v>
      </c>
      <c r="F12" s="10" t="s">
        <v>31</v>
      </c>
      <c r="G12" s="10" t="s">
        <v>32</v>
      </c>
      <c r="H12" s="10" t="s">
        <v>25</v>
      </c>
      <c r="I12" s="10"/>
      <c r="J12" s="10"/>
      <c r="K12" s="10" t="s">
        <v>26</v>
      </c>
    </row>
    <row r="13" spans="1:11" ht="43.5">
      <c r="A13" s="10" t="s">
        <v>33</v>
      </c>
      <c r="B13" s="10" t="s">
        <v>34</v>
      </c>
      <c r="C13" s="10" t="s">
        <v>35</v>
      </c>
      <c r="D13" s="10" t="s">
        <v>36</v>
      </c>
      <c r="E13" s="10" t="s">
        <v>37</v>
      </c>
      <c r="F13" s="10" t="s">
        <v>38</v>
      </c>
      <c r="G13" s="10" t="s">
        <v>39</v>
      </c>
      <c r="H13" s="10" t="s">
        <v>25</v>
      </c>
      <c r="I13" s="10"/>
      <c r="J13" s="10"/>
      <c r="K13" s="10" t="s">
        <v>26</v>
      </c>
    </row>
    <row r="14" spans="1:11" ht="43.5">
      <c r="A14" s="10" t="s">
        <v>40</v>
      </c>
      <c r="B14" s="10" t="s">
        <v>41</v>
      </c>
      <c r="C14" s="10" t="s">
        <v>42</v>
      </c>
      <c r="D14" s="10" t="s">
        <v>43</v>
      </c>
      <c r="E14" s="10" t="s">
        <v>44</v>
      </c>
      <c r="F14" s="10" t="s">
        <v>45</v>
      </c>
      <c r="G14" s="10" t="s">
        <v>46</v>
      </c>
      <c r="H14" s="10" t="s">
        <v>25</v>
      </c>
      <c r="I14" s="10"/>
      <c r="J14" s="10"/>
      <c r="K14" s="10" t="s">
        <v>26</v>
      </c>
    </row>
    <row r="15" spans="1:11" ht="57.75">
      <c r="A15" s="10" t="s">
        <v>47</v>
      </c>
      <c r="B15" s="10" t="s">
        <v>48</v>
      </c>
      <c r="C15" s="10" t="s">
        <v>49</v>
      </c>
      <c r="D15" s="10" t="s">
        <v>50</v>
      </c>
      <c r="E15" s="10" t="s">
        <v>51</v>
      </c>
      <c r="F15" s="10" t="s">
        <v>52</v>
      </c>
      <c r="G15" s="10" t="s">
        <v>53</v>
      </c>
      <c r="H15" s="10" t="s">
        <v>25</v>
      </c>
      <c r="I15" s="10"/>
      <c r="J15" s="10"/>
      <c r="K15" s="10" t="s">
        <v>54</v>
      </c>
    </row>
    <row r="16" spans="1:11" ht="28.5">
      <c r="A16" s="10" t="s">
        <v>55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60</v>
      </c>
      <c r="G16" s="10" t="s">
        <v>61</v>
      </c>
      <c r="H16" s="10" t="s">
        <v>25</v>
      </c>
      <c r="I16" s="10"/>
      <c r="J16" s="10"/>
      <c r="K16" s="10" t="s">
        <v>54</v>
      </c>
    </row>
    <row r="17" spans="1:11" ht="28.5">
      <c r="A17" s="10" t="s">
        <v>62</v>
      </c>
      <c r="B17" s="10" t="s">
        <v>63</v>
      </c>
      <c r="C17" s="10" t="s">
        <v>64</v>
      </c>
      <c r="D17" s="10" t="s">
        <v>65</v>
      </c>
      <c r="E17" s="10" t="s">
        <v>66</v>
      </c>
      <c r="F17" s="10" t="s">
        <v>67</v>
      </c>
      <c r="G17" s="10" t="s">
        <v>68</v>
      </c>
      <c r="H17" s="10" t="s">
        <v>25</v>
      </c>
      <c r="I17" s="10"/>
      <c r="J17" s="10"/>
      <c r="K17" s="10" t="s">
        <v>26</v>
      </c>
    </row>
    <row r="18" spans="1:11" ht="43.5">
      <c r="A18" s="11" t="s">
        <v>69</v>
      </c>
      <c r="B18" s="11" t="s">
        <v>70</v>
      </c>
      <c r="C18" s="11" t="s">
        <v>71</v>
      </c>
      <c r="D18" s="11" t="s">
        <v>72</v>
      </c>
      <c r="E18" s="11" t="s">
        <v>73</v>
      </c>
      <c r="F18" s="11" t="s">
        <v>74</v>
      </c>
      <c r="G18" s="11" t="s">
        <v>75</v>
      </c>
      <c r="H18" s="10" t="s">
        <v>25</v>
      </c>
      <c r="I18" s="10"/>
      <c r="J18" s="10"/>
      <c r="K18" s="10" t="s">
        <v>54</v>
      </c>
    </row>
    <row r="19" spans="1:11" ht="57.75">
      <c r="A19" s="10" t="s">
        <v>76</v>
      </c>
      <c r="B19" s="10" t="s">
        <v>77</v>
      </c>
      <c r="C19" s="10" t="s">
        <v>78</v>
      </c>
      <c r="D19" s="10" t="s">
        <v>79</v>
      </c>
      <c r="E19" s="10" t="s">
        <v>80</v>
      </c>
      <c r="F19" s="10" t="s">
        <v>81</v>
      </c>
      <c r="G19" s="10" t="s">
        <v>82</v>
      </c>
      <c r="H19" s="10" t="s">
        <v>25</v>
      </c>
      <c r="I19" s="10"/>
      <c r="J19" s="10"/>
      <c r="K19" s="10" t="s">
        <v>26</v>
      </c>
    </row>
    <row r="20" spans="1:11" ht="57.75">
      <c r="A20" s="12" t="s">
        <v>83</v>
      </c>
      <c r="B20" s="12" t="s">
        <v>84</v>
      </c>
      <c r="C20" s="12" t="s">
        <v>85</v>
      </c>
      <c r="D20" s="12" t="s">
        <v>86</v>
      </c>
      <c r="E20" s="12" t="s">
        <v>87</v>
      </c>
      <c r="F20" s="12" t="s">
        <v>88</v>
      </c>
      <c r="G20" s="12" t="s">
        <v>89</v>
      </c>
      <c r="H20" s="12" t="s">
        <v>25</v>
      </c>
      <c r="I20" s="10"/>
      <c r="J20" s="10"/>
      <c r="K20" s="12" t="s">
        <v>26</v>
      </c>
    </row>
    <row r="21" spans="1:11" ht="72">
      <c r="A21" s="10" t="s">
        <v>90</v>
      </c>
      <c r="B21" s="10" t="s">
        <v>91</v>
      </c>
      <c r="C21" s="10" t="s">
        <v>92</v>
      </c>
      <c r="D21" s="10" t="s">
        <v>93</v>
      </c>
      <c r="E21" s="10" t="s">
        <v>94</v>
      </c>
      <c r="F21" s="10" t="s">
        <v>95</v>
      </c>
      <c r="G21" s="12" t="s">
        <v>96</v>
      </c>
      <c r="H21" s="10" t="s">
        <v>25</v>
      </c>
      <c r="I21" s="10"/>
      <c r="J21" s="10"/>
      <c r="K21" s="10" t="s">
        <v>26</v>
      </c>
    </row>
    <row r="22" spans="1:11" ht="28.5">
      <c r="A22" s="10" t="s">
        <v>97</v>
      </c>
      <c r="B22" s="10" t="s">
        <v>98</v>
      </c>
      <c r="C22" s="10" t="s">
        <v>99</v>
      </c>
      <c r="D22" s="10" t="s">
        <v>100</v>
      </c>
      <c r="E22" s="10" t="s">
        <v>101</v>
      </c>
      <c r="F22" s="10" t="s">
        <v>102</v>
      </c>
      <c r="G22" s="10" t="s">
        <v>103</v>
      </c>
      <c r="H22" s="10" t="s">
        <v>25</v>
      </c>
      <c r="I22" s="10"/>
      <c r="J22" s="10"/>
      <c r="K22" s="10" t="s">
        <v>26</v>
      </c>
    </row>
    <row r="23" spans="1:11" ht="28.5">
      <c r="A23" s="10" t="s">
        <v>104</v>
      </c>
      <c r="B23" s="10" t="s">
        <v>105</v>
      </c>
      <c r="C23" s="10" t="s">
        <v>106</v>
      </c>
      <c r="D23" s="10" t="s">
        <v>100</v>
      </c>
      <c r="E23" s="10" t="s">
        <v>107</v>
      </c>
      <c r="F23" s="10" t="s">
        <v>108</v>
      </c>
      <c r="G23" s="12" t="s">
        <v>109</v>
      </c>
      <c r="H23" s="10" t="s">
        <v>25</v>
      </c>
      <c r="I23" s="10"/>
      <c r="J23" s="10"/>
      <c r="K23" s="10" t="s">
        <v>26</v>
      </c>
    </row>
    <row r="24" spans="1:11" ht="43.5">
      <c r="A24" s="10" t="s">
        <v>110</v>
      </c>
      <c r="B24" s="10" t="s">
        <v>111</v>
      </c>
      <c r="C24" s="10" t="s">
        <v>112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25</v>
      </c>
      <c r="I24" s="10"/>
      <c r="J24" s="10"/>
      <c r="K24" s="10" t="s">
        <v>26</v>
      </c>
    </row>
    <row r="25" spans="1:11" ht="28.5">
      <c r="A25" s="10" t="s">
        <v>117</v>
      </c>
      <c r="B25" s="10" t="s">
        <v>118</v>
      </c>
      <c r="C25" s="10" t="s">
        <v>119</v>
      </c>
      <c r="D25" s="10" t="s">
        <v>120</v>
      </c>
      <c r="E25" s="10" t="s">
        <v>121</v>
      </c>
      <c r="F25" s="10" t="s">
        <v>122</v>
      </c>
      <c r="G25" s="12" t="s">
        <v>123</v>
      </c>
      <c r="H25" s="10" t="s">
        <v>25</v>
      </c>
      <c r="I25" s="10"/>
      <c r="J25" s="10"/>
      <c r="K25" s="10" t="s">
        <v>54</v>
      </c>
    </row>
    <row r="26" spans="1:11" ht="43.5">
      <c r="A26" s="10" t="s">
        <v>124</v>
      </c>
      <c r="B26" s="10" t="s">
        <v>125</v>
      </c>
      <c r="C26" s="10" t="s">
        <v>126</v>
      </c>
      <c r="D26" s="10" t="s">
        <v>127</v>
      </c>
      <c r="E26" s="10" t="s">
        <v>128</v>
      </c>
      <c r="F26" s="10" t="s">
        <v>129</v>
      </c>
      <c r="G26" s="10" t="s">
        <v>130</v>
      </c>
      <c r="H26" s="10" t="s">
        <v>25</v>
      </c>
      <c r="I26" s="10"/>
      <c r="J26" s="10"/>
      <c r="K26" s="10" t="s">
        <v>54</v>
      </c>
    </row>
    <row r="27" spans="1:11" ht="43.5">
      <c r="A27" s="10" t="s">
        <v>131</v>
      </c>
      <c r="B27" s="10" t="s">
        <v>132</v>
      </c>
      <c r="C27" s="10" t="s">
        <v>133</v>
      </c>
      <c r="D27" s="10" t="s">
        <v>134</v>
      </c>
      <c r="E27" s="10" t="s">
        <v>135</v>
      </c>
      <c r="F27" s="10" t="s">
        <v>136</v>
      </c>
      <c r="G27" s="10" t="s">
        <v>137</v>
      </c>
      <c r="H27" s="10" t="s">
        <v>25</v>
      </c>
      <c r="I27" s="10"/>
      <c r="J27" s="10"/>
      <c r="K27" s="10" t="s">
        <v>54</v>
      </c>
    </row>
    <row r="28" spans="1:11" ht="43.5">
      <c r="A28" s="10" t="s">
        <v>138</v>
      </c>
      <c r="B28" s="10" t="s">
        <v>139</v>
      </c>
      <c r="C28" s="10" t="s">
        <v>140</v>
      </c>
      <c r="D28" s="10" t="s">
        <v>141</v>
      </c>
      <c r="E28" s="10" t="s">
        <v>128</v>
      </c>
      <c r="F28" s="10" t="s">
        <v>142</v>
      </c>
      <c r="G28" s="10" t="s">
        <v>143</v>
      </c>
      <c r="H28" s="10" t="s">
        <v>25</v>
      </c>
      <c r="I28" s="10"/>
      <c r="J28" s="10"/>
      <c r="K28" s="10" t="s">
        <v>54</v>
      </c>
    </row>
    <row r="29" spans="1:11" ht="43.5">
      <c r="A29" s="10" t="s">
        <v>144</v>
      </c>
      <c r="B29" s="10" t="s">
        <v>145</v>
      </c>
      <c r="C29" s="10" t="s">
        <v>146</v>
      </c>
      <c r="D29" s="10" t="s">
        <v>147</v>
      </c>
      <c r="E29" s="10" t="s">
        <v>148</v>
      </c>
      <c r="F29" s="10" t="s">
        <v>149</v>
      </c>
      <c r="G29" s="12" t="s">
        <v>150</v>
      </c>
      <c r="H29" s="10" t="s">
        <v>25</v>
      </c>
      <c r="I29" s="10"/>
      <c r="J29" s="10"/>
      <c r="K29" s="10" t="s">
        <v>26</v>
      </c>
    </row>
    <row r="30" spans="1:11" ht="43.5">
      <c r="A30" s="10" t="s">
        <v>151</v>
      </c>
      <c r="B30" s="10" t="s">
        <v>152</v>
      </c>
      <c r="C30" s="10" t="s">
        <v>153</v>
      </c>
      <c r="D30" s="10" t="s">
        <v>154</v>
      </c>
      <c r="E30" s="10" t="s">
        <v>155</v>
      </c>
      <c r="F30" s="10" t="s">
        <v>149</v>
      </c>
      <c r="G30" s="10" t="s">
        <v>156</v>
      </c>
      <c r="H30" s="10" t="s">
        <v>25</v>
      </c>
      <c r="I30" s="10"/>
      <c r="J30" s="10"/>
      <c r="K30" s="10" t="s">
        <v>54</v>
      </c>
    </row>
    <row r="31" spans="1:11" ht="28.5">
      <c r="A31" s="12" t="s">
        <v>157</v>
      </c>
      <c r="B31" s="12" t="s">
        <v>158</v>
      </c>
      <c r="C31" s="12" t="s">
        <v>159</v>
      </c>
      <c r="D31" s="12"/>
      <c r="E31" s="13"/>
      <c r="F31" s="13"/>
      <c r="G31" s="12" t="s">
        <v>160</v>
      </c>
      <c r="H31" s="13"/>
      <c r="I31" s="13"/>
      <c r="J31" s="13"/>
      <c r="K31" s="13"/>
    </row>
    <row r="32" spans="1:11" ht="43.5">
      <c r="A32" s="12" t="s">
        <v>161</v>
      </c>
      <c r="B32" s="12" t="s">
        <v>158</v>
      </c>
      <c r="C32" s="12" t="s">
        <v>162</v>
      </c>
      <c r="D32" s="12"/>
      <c r="E32" s="13"/>
      <c r="F32" s="13"/>
      <c r="G32" s="12" t="s">
        <v>163</v>
      </c>
      <c r="H32" s="13"/>
      <c r="I32" s="13"/>
      <c r="J32" s="13"/>
      <c r="K32" s="13"/>
    </row>
    <row r="33" spans="1:11" ht="43.5">
      <c r="A33" s="12" t="s">
        <v>164</v>
      </c>
      <c r="B33" s="12" t="s">
        <v>158</v>
      </c>
      <c r="C33" s="12" t="s">
        <v>165</v>
      </c>
      <c r="D33" s="12"/>
      <c r="E33" s="13"/>
      <c r="F33" s="13"/>
      <c r="G33" s="12" t="s">
        <v>166</v>
      </c>
      <c r="H33" s="13"/>
      <c r="I33" s="13"/>
      <c r="J33" s="13"/>
      <c r="K33" s="13"/>
    </row>
    <row r="34" spans="1:11" ht="43.5">
      <c r="A34" s="12" t="s">
        <v>167</v>
      </c>
      <c r="B34" s="12" t="s">
        <v>158</v>
      </c>
      <c r="C34" s="12" t="s">
        <v>168</v>
      </c>
      <c r="D34" s="12"/>
      <c r="E34" s="13"/>
      <c r="F34" s="13"/>
      <c r="G34" s="12" t="s">
        <v>169</v>
      </c>
      <c r="H34" s="13"/>
      <c r="I34" s="13"/>
      <c r="J34" s="13"/>
      <c r="K34" s="13"/>
    </row>
    <row r="35" spans="1:11" ht="28.5">
      <c r="A35" s="12" t="s">
        <v>170</v>
      </c>
      <c r="B35" s="12" t="s">
        <v>171</v>
      </c>
      <c r="C35" s="12" t="s">
        <v>172</v>
      </c>
      <c r="D35" s="12"/>
      <c r="E35" s="13"/>
      <c r="F35" s="13"/>
      <c r="G35" s="12" t="s">
        <v>173</v>
      </c>
      <c r="H35" s="13"/>
      <c r="I35" s="13"/>
      <c r="J35" s="13"/>
      <c r="K35" s="13"/>
    </row>
    <row r="36" spans="1:11" ht="28.5">
      <c r="A36" s="12" t="s">
        <v>174</v>
      </c>
      <c r="B36" s="12" t="s">
        <v>175</v>
      </c>
      <c r="C36" s="12" t="s">
        <v>176</v>
      </c>
      <c r="D36" s="12"/>
      <c r="E36" s="13"/>
      <c r="F36" s="13"/>
      <c r="G36" s="12" t="s">
        <v>177</v>
      </c>
      <c r="H36" s="13"/>
      <c r="I36" s="13"/>
      <c r="J36" s="13"/>
      <c r="K36" s="13"/>
    </row>
    <row r="37" spans="1:11" ht="43.5">
      <c r="A37" s="12" t="s">
        <v>178</v>
      </c>
      <c r="B37" s="12" t="s">
        <v>179</v>
      </c>
      <c r="C37" s="12" t="s">
        <v>180</v>
      </c>
      <c r="D37" s="12"/>
      <c r="E37" s="13"/>
      <c r="F37" s="13"/>
      <c r="G37" s="12" t="s">
        <v>181</v>
      </c>
      <c r="H37" s="13"/>
      <c r="I37" s="13"/>
      <c r="J37" s="13"/>
      <c r="K37" s="13"/>
    </row>
    <row r="38" spans="1:11" ht="57.75">
      <c r="A38" s="12" t="s">
        <v>182</v>
      </c>
      <c r="B38" s="12" t="s">
        <v>183</v>
      </c>
      <c r="C38" s="12" t="s">
        <v>184</v>
      </c>
      <c r="D38" s="12"/>
      <c r="E38" s="13"/>
      <c r="F38" s="13"/>
      <c r="G38" s="12" t="s">
        <v>185</v>
      </c>
      <c r="H38" s="13"/>
      <c r="I38" s="13"/>
      <c r="J38" s="13"/>
      <c r="K38" s="13"/>
    </row>
  </sheetData>
  <mergeCells count="6">
    <mergeCell ref="A10:K10"/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4DE3-5A0C-41E1-B341-9B5ED63FC6FC}">
  <dimension ref="A1:K65"/>
  <sheetViews>
    <sheetView tabSelected="1" topLeftCell="A10" workbookViewId="0">
      <selection activeCell="D13" sqref="D13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7" t="s">
        <v>0</v>
      </c>
      <c r="B1" s="18"/>
      <c r="C1" s="18"/>
      <c r="D1" s="18"/>
      <c r="E1" s="19"/>
      <c r="F1" s="1"/>
      <c r="G1" s="1"/>
      <c r="H1" s="1"/>
      <c r="I1" s="1"/>
      <c r="J1" s="1"/>
      <c r="K1" s="1"/>
    </row>
    <row r="2" spans="1:11">
      <c r="A2" s="20"/>
      <c r="B2" s="21"/>
      <c r="C2" s="21"/>
      <c r="D2" s="21"/>
      <c r="E2" s="22"/>
      <c r="F2" s="1"/>
      <c r="G2" s="1"/>
      <c r="H2" s="1"/>
      <c r="I2" s="1"/>
      <c r="J2" s="1"/>
      <c r="K2" s="1"/>
    </row>
    <row r="3" spans="1:11">
      <c r="A3" s="23"/>
      <c r="B3" s="24"/>
      <c r="C3" s="24"/>
      <c r="D3" s="24"/>
      <c r="E3" s="25"/>
      <c r="F3" s="1"/>
      <c r="G3" s="1"/>
      <c r="H3" s="1"/>
      <c r="I3" s="1"/>
      <c r="J3" s="1"/>
      <c r="K3" s="1"/>
    </row>
    <row r="4" spans="1:11">
      <c r="A4" s="26" t="s">
        <v>1</v>
      </c>
      <c r="B4" s="27"/>
      <c r="C4" s="28"/>
      <c r="D4" s="2" t="s">
        <v>2</v>
      </c>
      <c r="E4" s="3">
        <f>COUNTIF(H11:H418,"PASS")</f>
        <v>0</v>
      </c>
      <c r="F4" s="4"/>
      <c r="G4" s="4"/>
      <c r="H4" s="4"/>
      <c r="I4" s="4"/>
      <c r="J4" s="4"/>
      <c r="K4" s="4"/>
    </row>
    <row r="5" spans="1:11">
      <c r="A5" s="26" t="s">
        <v>3</v>
      </c>
      <c r="B5" s="27"/>
      <c r="C5" s="28"/>
      <c r="D5" s="2"/>
      <c r="E5" s="3">
        <f>COUNTIF(H11:H418,"FAIL")</f>
        <v>0</v>
      </c>
      <c r="F5" s="4"/>
      <c r="G5" s="4"/>
      <c r="H5" s="4"/>
      <c r="I5" s="4"/>
      <c r="J5" s="4"/>
      <c r="K5" s="4"/>
    </row>
    <row r="6" spans="1:11">
      <c r="A6" s="26" t="s">
        <v>4</v>
      </c>
      <c r="B6" s="27"/>
      <c r="C6" s="28"/>
      <c r="D6" s="2"/>
      <c r="E6" s="3">
        <f>COUNTIF(H11:H418,"Pending")</f>
        <v>0</v>
      </c>
      <c r="G6" s="4"/>
      <c r="H6" s="4"/>
      <c r="I6" s="4"/>
      <c r="J6" s="4"/>
      <c r="K6" s="4"/>
    </row>
    <row r="7" spans="1:11">
      <c r="A7" s="26" t="s">
        <v>5</v>
      </c>
      <c r="B7" s="27"/>
      <c r="C7" s="28"/>
      <c r="D7" s="2"/>
      <c r="E7" s="3">
        <f>COUNTA(H11:H418)</f>
        <v>50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43.5">
      <c r="A10" s="30" t="s">
        <v>186</v>
      </c>
      <c r="B10" s="30" t="s">
        <v>187</v>
      </c>
      <c r="C10" s="30" t="s">
        <v>188</v>
      </c>
      <c r="D10" s="30" t="s">
        <v>189</v>
      </c>
      <c r="E10" s="30" t="s">
        <v>190</v>
      </c>
      <c r="F10" s="30" t="s">
        <v>191</v>
      </c>
      <c r="G10" s="30" t="s">
        <v>192</v>
      </c>
      <c r="H10" s="30" t="s">
        <v>25</v>
      </c>
      <c r="I10" s="30"/>
      <c r="J10" s="30"/>
    </row>
    <row r="11" spans="1:11" ht="43.5">
      <c r="A11" s="30" t="s">
        <v>193</v>
      </c>
      <c r="B11" s="30" t="s">
        <v>194</v>
      </c>
      <c r="C11" s="30" t="s">
        <v>195</v>
      </c>
      <c r="D11" s="30" t="s">
        <v>196</v>
      </c>
      <c r="E11" s="30" t="s">
        <v>197</v>
      </c>
      <c r="F11" s="30" t="s">
        <v>198</v>
      </c>
      <c r="G11" s="30" t="s">
        <v>199</v>
      </c>
      <c r="H11" s="30" t="s">
        <v>25</v>
      </c>
      <c r="I11" s="30"/>
      <c r="J11" s="30"/>
    </row>
    <row r="12" spans="1:11" ht="43.5">
      <c r="A12" s="30" t="s">
        <v>200</v>
      </c>
      <c r="B12" s="30" t="s">
        <v>201</v>
      </c>
      <c r="C12" s="30" t="s">
        <v>35</v>
      </c>
      <c r="D12" s="30" t="s">
        <v>202</v>
      </c>
      <c r="E12" s="30" t="s">
        <v>203</v>
      </c>
      <c r="F12" s="30" t="s">
        <v>204</v>
      </c>
      <c r="G12" s="30" t="s">
        <v>205</v>
      </c>
      <c r="H12" s="30" t="s">
        <v>25</v>
      </c>
      <c r="I12" s="30"/>
      <c r="J12" s="30"/>
    </row>
    <row r="13" spans="1:11" ht="43.5">
      <c r="A13" s="30" t="s">
        <v>206</v>
      </c>
      <c r="B13" s="30" t="s">
        <v>207</v>
      </c>
      <c r="C13" s="30" t="s">
        <v>208</v>
      </c>
      <c r="D13" s="30" t="s">
        <v>209</v>
      </c>
      <c r="E13" s="30" t="s">
        <v>44</v>
      </c>
      <c r="F13" s="30" t="s">
        <v>210</v>
      </c>
      <c r="G13" s="30" t="s">
        <v>211</v>
      </c>
      <c r="H13" s="30" t="s">
        <v>25</v>
      </c>
      <c r="I13" s="30"/>
      <c r="J13" s="30"/>
    </row>
    <row r="14" spans="1:11" ht="28.5">
      <c r="A14" s="30" t="s">
        <v>212</v>
      </c>
      <c r="B14" s="30" t="s">
        <v>213</v>
      </c>
      <c r="C14" s="30" t="s">
        <v>214</v>
      </c>
      <c r="D14" s="30" t="s">
        <v>215</v>
      </c>
      <c r="E14" s="30" t="s">
        <v>51</v>
      </c>
      <c r="F14" s="30" t="s">
        <v>52</v>
      </c>
      <c r="G14" s="30" t="s">
        <v>216</v>
      </c>
      <c r="H14" s="30" t="s">
        <v>25</v>
      </c>
      <c r="I14" s="30"/>
      <c r="J14" s="30"/>
    </row>
    <row r="15" spans="1:11" ht="43.5">
      <c r="A15" s="30" t="s">
        <v>217</v>
      </c>
      <c r="B15" s="30" t="s">
        <v>218</v>
      </c>
      <c r="C15" s="30" t="s">
        <v>219</v>
      </c>
      <c r="D15" s="30" t="s">
        <v>220</v>
      </c>
      <c r="E15" s="30" t="s">
        <v>221</v>
      </c>
      <c r="F15" s="30" t="s">
        <v>222</v>
      </c>
      <c r="G15" s="30" t="s">
        <v>223</v>
      </c>
      <c r="H15" s="30" t="s">
        <v>25</v>
      </c>
      <c r="I15" s="30"/>
      <c r="J15" s="30"/>
    </row>
    <row r="16" spans="1:11" ht="28.5">
      <c r="A16" s="30" t="s">
        <v>224</v>
      </c>
      <c r="B16" s="30" t="s">
        <v>225</v>
      </c>
      <c r="C16" s="30" t="s">
        <v>226</v>
      </c>
      <c r="D16" s="30" t="s">
        <v>65</v>
      </c>
      <c r="E16" s="30" t="s">
        <v>66</v>
      </c>
      <c r="F16" s="30" t="s">
        <v>227</v>
      </c>
      <c r="G16" s="30" t="s">
        <v>228</v>
      </c>
      <c r="H16" s="30" t="s">
        <v>25</v>
      </c>
      <c r="I16" s="30"/>
      <c r="J16" s="30"/>
    </row>
    <row r="17" spans="1:10" ht="57.75">
      <c r="A17" s="30" t="s">
        <v>229</v>
      </c>
      <c r="B17" s="30" t="s">
        <v>230</v>
      </c>
      <c r="C17" s="30" t="s">
        <v>231</v>
      </c>
      <c r="D17" s="30" t="s">
        <v>196</v>
      </c>
      <c r="E17" s="30" t="s">
        <v>232</v>
      </c>
      <c r="F17" s="30" t="s">
        <v>233</v>
      </c>
      <c r="G17" s="30" t="s">
        <v>234</v>
      </c>
      <c r="H17" s="30" t="s">
        <v>25</v>
      </c>
      <c r="I17" s="30"/>
      <c r="J17" s="30"/>
    </row>
    <row r="18" spans="1:10" ht="28.5">
      <c r="A18" s="30" t="s">
        <v>235</v>
      </c>
      <c r="B18" s="30" t="s">
        <v>236</v>
      </c>
      <c r="C18" s="30" t="s">
        <v>237</v>
      </c>
      <c r="D18" s="30" t="s">
        <v>238</v>
      </c>
      <c r="E18" s="30" t="s">
        <v>239</v>
      </c>
      <c r="F18" s="30" t="s">
        <v>240</v>
      </c>
      <c r="G18" s="30" t="s">
        <v>241</v>
      </c>
      <c r="H18" s="30" t="s">
        <v>25</v>
      </c>
      <c r="I18" s="30"/>
      <c r="J18" s="30"/>
    </row>
    <row r="19" spans="1:10" ht="72">
      <c r="A19" s="30" t="s">
        <v>242</v>
      </c>
      <c r="B19" s="30" t="s">
        <v>243</v>
      </c>
      <c r="C19" s="30" t="s">
        <v>92</v>
      </c>
      <c r="D19" s="30" t="s">
        <v>196</v>
      </c>
      <c r="E19" s="30" t="s">
        <v>244</v>
      </c>
      <c r="F19" s="30" t="s">
        <v>245</v>
      </c>
      <c r="G19" s="30" t="s">
        <v>246</v>
      </c>
      <c r="H19" s="30" t="s">
        <v>25</v>
      </c>
      <c r="I19" s="30"/>
      <c r="J19" s="30"/>
    </row>
    <row r="20" spans="1:10" ht="43.5">
      <c r="A20" s="30" t="s">
        <v>247</v>
      </c>
      <c r="B20" s="30" t="s">
        <v>98</v>
      </c>
      <c r="C20" s="30" t="s">
        <v>248</v>
      </c>
      <c r="D20" s="30" t="s">
        <v>249</v>
      </c>
      <c r="E20" s="30" t="s">
        <v>250</v>
      </c>
      <c r="F20" s="30" t="s">
        <v>102</v>
      </c>
      <c r="G20" s="30" t="s">
        <v>251</v>
      </c>
      <c r="H20" s="30" t="s">
        <v>25</v>
      </c>
      <c r="I20" s="30"/>
      <c r="J20" s="30"/>
    </row>
    <row r="21" spans="1:10" ht="43.5">
      <c r="A21" s="30" t="s">
        <v>252</v>
      </c>
      <c r="B21" s="30" t="s">
        <v>105</v>
      </c>
      <c r="C21" s="30" t="s">
        <v>253</v>
      </c>
      <c r="D21" s="30" t="s">
        <v>113</v>
      </c>
      <c r="E21" s="30" t="s">
        <v>107</v>
      </c>
      <c r="F21" s="30" t="s">
        <v>254</v>
      </c>
      <c r="G21" s="30" t="s">
        <v>255</v>
      </c>
      <c r="H21" s="30" t="s">
        <v>25</v>
      </c>
      <c r="I21" s="30"/>
      <c r="J21" s="30"/>
    </row>
    <row r="22" spans="1:10" ht="43.5">
      <c r="A22" s="30" t="s">
        <v>256</v>
      </c>
      <c r="B22" s="30" t="s">
        <v>111</v>
      </c>
      <c r="C22" s="30" t="s">
        <v>257</v>
      </c>
      <c r="D22" s="30" t="s">
        <v>113</v>
      </c>
      <c r="E22" s="30" t="s">
        <v>114</v>
      </c>
      <c r="F22" s="30" t="s">
        <v>258</v>
      </c>
      <c r="G22" s="30" t="s">
        <v>259</v>
      </c>
      <c r="H22" s="30" t="s">
        <v>25</v>
      </c>
      <c r="I22" s="30"/>
      <c r="J22" s="30"/>
    </row>
    <row r="23" spans="1:10" ht="28.5">
      <c r="A23" s="30" t="s">
        <v>260</v>
      </c>
      <c r="B23" s="30" t="s">
        <v>261</v>
      </c>
      <c r="C23" s="30" t="s">
        <v>262</v>
      </c>
      <c r="D23" s="30" t="s">
        <v>263</v>
      </c>
      <c r="E23" s="30" t="s">
        <v>264</v>
      </c>
      <c r="F23" s="30" t="s">
        <v>202</v>
      </c>
      <c r="G23" s="30" t="s">
        <v>265</v>
      </c>
      <c r="H23" s="30" t="s">
        <v>25</v>
      </c>
      <c r="I23" s="30"/>
      <c r="J23" s="30"/>
    </row>
    <row r="24" spans="1:10" ht="43.5">
      <c r="A24" s="30" t="s">
        <v>266</v>
      </c>
      <c r="B24" s="30" t="s">
        <v>267</v>
      </c>
      <c r="C24" s="30" t="s">
        <v>268</v>
      </c>
      <c r="D24" s="30" t="s">
        <v>209</v>
      </c>
      <c r="E24" s="30" t="s">
        <v>269</v>
      </c>
      <c r="F24" s="30" t="s">
        <v>270</v>
      </c>
      <c r="G24" s="30" t="s">
        <v>271</v>
      </c>
      <c r="H24" s="30" t="s">
        <v>25</v>
      </c>
      <c r="I24" s="30"/>
      <c r="J24" s="30"/>
    </row>
    <row r="25" spans="1:10" ht="43.5">
      <c r="A25" s="30" t="s">
        <v>272</v>
      </c>
      <c r="B25" s="30" t="s">
        <v>273</v>
      </c>
      <c r="C25" s="30" t="s">
        <v>119</v>
      </c>
      <c r="D25" s="30" t="s">
        <v>122</v>
      </c>
      <c r="E25" s="30" t="s">
        <v>274</v>
      </c>
      <c r="F25" s="30" t="s">
        <v>273</v>
      </c>
      <c r="G25" s="30" t="s">
        <v>275</v>
      </c>
      <c r="H25" s="30" t="s">
        <v>25</v>
      </c>
      <c r="I25" s="30"/>
      <c r="J25" s="30"/>
    </row>
    <row r="26" spans="1:10" ht="28.5">
      <c r="A26" s="30" t="s">
        <v>276</v>
      </c>
      <c r="B26" s="30" t="s">
        <v>277</v>
      </c>
      <c r="C26" s="30" t="s">
        <v>278</v>
      </c>
      <c r="D26" s="30" t="s">
        <v>279</v>
      </c>
      <c r="E26" s="30" t="s">
        <v>274</v>
      </c>
      <c r="F26" s="30" t="s">
        <v>129</v>
      </c>
      <c r="G26" s="30" t="s">
        <v>280</v>
      </c>
      <c r="H26" s="30" t="s">
        <v>25</v>
      </c>
      <c r="I26" s="30"/>
      <c r="J26" s="30"/>
    </row>
    <row r="27" spans="1:10" ht="57.75">
      <c r="A27" s="30" t="s">
        <v>281</v>
      </c>
      <c r="B27" s="30" t="s">
        <v>282</v>
      </c>
      <c r="C27" s="30" t="s">
        <v>283</v>
      </c>
      <c r="D27" s="30" t="s">
        <v>134</v>
      </c>
      <c r="E27" s="30" t="s">
        <v>284</v>
      </c>
      <c r="F27" s="30" t="s">
        <v>285</v>
      </c>
      <c r="G27" s="30" t="s">
        <v>286</v>
      </c>
      <c r="H27" s="30" t="s">
        <v>25</v>
      </c>
      <c r="I27" s="30"/>
      <c r="J27" s="30"/>
    </row>
    <row r="28" spans="1:10" ht="43.5">
      <c r="A28" s="30" t="s">
        <v>287</v>
      </c>
      <c r="B28" s="30" t="s">
        <v>288</v>
      </c>
      <c r="C28" s="30" t="s">
        <v>289</v>
      </c>
      <c r="D28" s="30" t="s">
        <v>290</v>
      </c>
      <c r="E28" s="30" t="s">
        <v>274</v>
      </c>
      <c r="F28" s="30" t="s">
        <v>291</v>
      </c>
      <c r="G28" s="30" t="s">
        <v>292</v>
      </c>
      <c r="H28" s="30" t="s">
        <v>25</v>
      </c>
      <c r="I28" s="30"/>
      <c r="J28" s="30"/>
    </row>
    <row r="29" spans="1:10" ht="43.5">
      <c r="A29" s="30" t="s">
        <v>293</v>
      </c>
      <c r="B29" s="30" t="s">
        <v>294</v>
      </c>
      <c r="C29" s="30" t="s">
        <v>295</v>
      </c>
      <c r="D29" s="30" t="s">
        <v>296</v>
      </c>
      <c r="E29" s="30" t="s">
        <v>297</v>
      </c>
      <c r="F29" s="30" t="s">
        <v>298</v>
      </c>
      <c r="G29" s="30" t="s">
        <v>299</v>
      </c>
      <c r="H29" s="30" t="s">
        <v>25</v>
      </c>
      <c r="I29" s="30"/>
      <c r="J29" s="30"/>
    </row>
    <row r="30" spans="1:10" ht="28.5">
      <c r="A30" s="29" t="s">
        <v>6</v>
      </c>
      <c r="B30" s="29" t="s">
        <v>300</v>
      </c>
      <c r="C30" s="29" t="s">
        <v>301</v>
      </c>
      <c r="D30" s="29" t="s">
        <v>302</v>
      </c>
      <c r="E30" s="29" t="s">
        <v>303</v>
      </c>
      <c r="F30" s="29" t="s">
        <v>304</v>
      </c>
      <c r="G30" s="29" t="s">
        <v>305</v>
      </c>
      <c r="H30" s="29" t="s">
        <v>306</v>
      </c>
      <c r="I30" s="29" t="s">
        <v>14</v>
      </c>
      <c r="J30" s="29" t="s">
        <v>15</v>
      </c>
    </row>
    <row r="31" spans="1:10" ht="43.5">
      <c r="A31" s="30" t="s">
        <v>307</v>
      </c>
      <c r="B31" s="30" t="s">
        <v>187</v>
      </c>
      <c r="C31" s="30" t="s">
        <v>308</v>
      </c>
      <c r="D31" s="30" t="s">
        <v>196</v>
      </c>
      <c r="E31" s="30" t="s">
        <v>309</v>
      </c>
      <c r="F31" s="30" t="s">
        <v>310</v>
      </c>
      <c r="G31" s="30" t="s">
        <v>311</v>
      </c>
      <c r="H31" s="30" t="s">
        <v>25</v>
      </c>
      <c r="I31" s="30"/>
      <c r="J31" s="30"/>
    </row>
    <row r="32" spans="1:10" ht="28.5">
      <c r="A32" s="30" t="s">
        <v>312</v>
      </c>
      <c r="B32" s="30" t="s">
        <v>187</v>
      </c>
      <c r="C32" s="30" t="s">
        <v>313</v>
      </c>
      <c r="D32" s="30" t="s">
        <v>196</v>
      </c>
      <c r="E32" s="30" t="s">
        <v>314</v>
      </c>
      <c r="F32" s="31">
        <v>46182</v>
      </c>
      <c r="G32" s="30" t="s">
        <v>315</v>
      </c>
      <c r="H32" s="30" t="s">
        <v>25</v>
      </c>
      <c r="I32" s="30"/>
      <c r="J32" s="30"/>
    </row>
    <row r="33" spans="1:10" ht="28.5">
      <c r="A33" s="30" t="s">
        <v>316</v>
      </c>
      <c r="B33" s="30" t="s">
        <v>187</v>
      </c>
      <c r="C33" s="30" t="s">
        <v>317</v>
      </c>
      <c r="D33" s="30" t="s">
        <v>318</v>
      </c>
      <c r="E33" s="30" t="s">
        <v>319</v>
      </c>
      <c r="F33" s="30" t="s">
        <v>320</v>
      </c>
      <c r="G33" s="30" t="s">
        <v>321</v>
      </c>
      <c r="H33" s="30" t="s">
        <v>25</v>
      </c>
      <c r="I33" s="30"/>
      <c r="J33" s="30"/>
    </row>
    <row r="34" spans="1:10" ht="57.75">
      <c r="A34" s="30" t="s">
        <v>322</v>
      </c>
      <c r="B34" s="30" t="s">
        <v>187</v>
      </c>
      <c r="C34" s="30" t="s">
        <v>323</v>
      </c>
      <c r="D34" s="30" t="s">
        <v>324</v>
      </c>
      <c r="E34" s="30" t="s">
        <v>274</v>
      </c>
      <c r="F34" s="30" t="s">
        <v>325</v>
      </c>
      <c r="G34" s="32" t="s">
        <v>326</v>
      </c>
      <c r="H34" s="30" t="s">
        <v>25</v>
      </c>
      <c r="I34" s="30"/>
      <c r="J34" s="30"/>
    </row>
    <row r="35" spans="1:10" ht="72">
      <c r="A35" s="30" t="s">
        <v>327</v>
      </c>
      <c r="B35" s="30" t="s">
        <v>187</v>
      </c>
      <c r="C35" s="30" t="s">
        <v>328</v>
      </c>
      <c r="D35" s="30" t="s">
        <v>329</v>
      </c>
      <c r="E35" s="30" t="s">
        <v>274</v>
      </c>
      <c r="F35" s="30" t="s">
        <v>330</v>
      </c>
      <c r="G35" s="32" t="s">
        <v>331</v>
      </c>
      <c r="H35" s="30" t="s">
        <v>25</v>
      </c>
      <c r="I35" s="30"/>
      <c r="J35" s="30"/>
    </row>
    <row r="36" spans="1:10" ht="43.5">
      <c r="A36" s="30" t="s">
        <v>332</v>
      </c>
      <c r="B36" s="30" t="s">
        <v>230</v>
      </c>
      <c r="C36" s="30" t="s">
        <v>333</v>
      </c>
      <c r="D36" s="30" t="s">
        <v>334</v>
      </c>
      <c r="E36" s="32" t="s">
        <v>335</v>
      </c>
      <c r="F36" s="30" t="s">
        <v>336</v>
      </c>
      <c r="G36" s="30" t="s">
        <v>337</v>
      </c>
      <c r="H36" s="30" t="s">
        <v>25</v>
      </c>
      <c r="I36" s="30"/>
      <c r="J36" s="30"/>
    </row>
    <row r="37" spans="1:10" ht="43.5">
      <c r="A37" s="30" t="s">
        <v>338</v>
      </c>
      <c r="B37" s="30" t="s">
        <v>230</v>
      </c>
      <c r="C37" s="30" t="s">
        <v>339</v>
      </c>
      <c r="D37" s="30" t="s">
        <v>340</v>
      </c>
      <c r="E37" s="32" t="s">
        <v>341</v>
      </c>
      <c r="F37" s="30" t="s">
        <v>342</v>
      </c>
      <c r="G37" s="30" t="s">
        <v>343</v>
      </c>
      <c r="H37" s="30" t="s">
        <v>25</v>
      </c>
      <c r="I37" s="30"/>
      <c r="J37" s="30"/>
    </row>
    <row r="38" spans="1:10" ht="43.5">
      <c r="A38" s="30" t="s">
        <v>344</v>
      </c>
      <c r="B38" s="30" t="s">
        <v>243</v>
      </c>
      <c r="C38" s="30" t="s">
        <v>345</v>
      </c>
      <c r="D38" s="30" t="s">
        <v>346</v>
      </c>
      <c r="E38" s="32" t="s">
        <v>347</v>
      </c>
      <c r="F38" s="30" t="s">
        <v>348</v>
      </c>
      <c r="G38" s="30" t="s">
        <v>349</v>
      </c>
      <c r="H38" s="30" t="s">
        <v>25</v>
      </c>
      <c r="I38" s="30"/>
      <c r="J38" s="30"/>
    </row>
    <row r="39" spans="1:10" ht="43.5">
      <c r="A39" s="30" t="s">
        <v>350</v>
      </c>
      <c r="B39" s="30" t="s">
        <v>243</v>
      </c>
      <c r="C39" s="30" t="s">
        <v>351</v>
      </c>
      <c r="D39" s="30" t="s">
        <v>196</v>
      </c>
      <c r="E39" s="30" t="s">
        <v>352</v>
      </c>
      <c r="F39" s="30" t="s">
        <v>149</v>
      </c>
      <c r="G39" s="30" t="s">
        <v>353</v>
      </c>
      <c r="H39" s="30" t="s">
        <v>25</v>
      </c>
      <c r="I39" s="30"/>
      <c r="J39" s="30"/>
    </row>
    <row r="40" spans="1:10" ht="43.5">
      <c r="A40" s="30" t="s">
        <v>354</v>
      </c>
      <c r="B40" s="30" t="s">
        <v>355</v>
      </c>
      <c r="C40" s="30" t="s">
        <v>356</v>
      </c>
      <c r="D40" s="30" t="s">
        <v>357</v>
      </c>
      <c r="E40" s="30" t="s">
        <v>358</v>
      </c>
      <c r="F40" s="30" t="s">
        <v>359</v>
      </c>
      <c r="G40" s="30" t="s">
        <v>360</v>
      </c>
      <c r="H40" s="30" t="s">
        <v>25</v>
      </c>
      <c r="I40" s="30"/>
      <c r="J40" s="30"/>
    </row>
    <row r="41" spans="1:10" ht="43.5">
      <c r="A41" s="30" t="s">
        <v>361</v>
      </c>
      <c r="B41" s="30" t="s">
        <v>355</v>
      </c>
      <c r="C41" s="30" t="s">
        <v>362</v>
      </c>
      <c r="D41" s="30" t="s">
        <v>363</v>
      </c>
      <c r="E41" s="30" t="s">
        <v>364</v>
      </c>
      <c r="F41" s="30" t="s">
        <v>365</v>
      </c>
      <c r="G41" s="32" t="s">
        <v>366</v>
      </c>
      <c r="H41" s="30" t="s">
        <v>25</v>
      </c>
      <c r="I41" s="30"/>
      <c r="J41" s="30"/>
    </row>
    <row r="42" spans="1:10" ht="28.5">
      <c r="A42" s="30" t="s">
        <v>367</v>
      </c>
      <c r="B42" s="30" t="s">
        <v>355</v>
      </c>
      <c r="C42" s="30" t="s">
        <v>368</v>
      </c>
      <c r="D42" s="30" t="s">
        <v>369</v>
      </c>
      <c r="E42" s="30" t="s">
        <v>370</v>
      </c>
      <c r="F42" s="30" t="s">
        <v>371</v>
      </c>
      <c r="G42" s="30" t="s">
        <v>372</v>
      </c>
      <c r="H42" s="30" t="s">
        <v>25</v>
      </c>
      <c r="I42" s="30"/>
      <c r="J42" s="30"/>
    </row>
    <row r="43" spans="1:10" ht="28.5">
      <c r="A43" s="30" t="s">
        <v>373</v>
      </c>
      <c r="B43" s="30" t="s">
        <v>355</v>
      </c>
      <c r="C43" s="30" t="s">
        <v>374</v>
      </c>
      <c r="D43" s="30" t="s">
        <v>375</v>
      </c>
      <c r="E43" s="32" t="s">
        <v>376</v>
      </c>
      <c r="F43" s="30" t="s">
        <v>377</v>
      </c>
      <c r="G43" s="30" t="s">
        <v>378</v>
      </c>
      <c r="H43" s="30" t="s">
        <v>25</v>
      </c>
      <c r="I43" s="30"/>
      <c r="J43" s="30"/>
    </row>
    <row r="44" spans="1:10" ht="28.5">
      <c r="A44" s="30" t="s">
        <v>379</v>
      </c>
      <c r="B44" s="30" t="s">
        <v>355</v>
      </c>
      <c r="C44" s="30" t="s">
        <v>380</v>
      </c>
      <c r="D44" s="30" t="s">
        <v>369</v>
      </c>
      <c r="E44" s="30" t="s">
        <v>381</v>
      </c>
      <c r="F44" s="30" t="s">
        <v>382</v>
      </c>
      <c r="G44" s="30" t="s">
        <v>383</v>
      </c>
      <c r="H44" s="30" t="s">
        <v>25</v>
      </c>
      <c r="I44" s="30"/>
      <c r="J44" s="30"/>
    </row>
    <row r="45" spans="1:10" ht="43.5">
      <c r="A45" s="30" t="s">
        <v>384</v>
      </c>
      <c r="B45" s="30" t="s">
        <v>355</v>
      </c>
      <c r="C45" s="30" t="s">
        <v>385</v>
      </c>
      <c r="D45" s="30" t="s">
        <v>386</v>
      </c>
      <c r="E45" s="32" t="s">
        <v>387</v>
      </c>
      <c r="F45" s="30" t="s">
        <v>388</v>
      </c>
      <c r="G45" s="30" t="s">
        <v>389</v>
      </c>
      <c r="H45" s="30" t="s">
        <v>25</v>
      </c>
      <c r="I45" s="30"/>
      <c r="J45" s="30"/>
    </row>
    <row r="46" spans="1:10" ht="28.5">
      <c r="A46" s="30" t="s">
        <v>390</v>
      </c>
      <c r="B46" s="33" t="s">
        <v>355</v>
      </c>
      <c r="C46" s="33" t="s">
        <v>391</v>
      </c>
      <c r="D46" s="33" t="s">
        <v>392</v>
      </c>
      <c r="E46" s="33" t="s">
        <v>393</v>
      </c>
      <c r="F46" s="33" t="s">
        <v>142</v>
      </c>
      <c r="G46" s="33" t="s">
        <v>394</v>
      </c>
      <c r="H46" s="30" t="s">
        <v>25</v>
      </c>
      <c r="I46" s="30"/>
      <c r="J46" s="30"/>
    </row>
    <row r="47" spans="1:10" ht="43.5">
      <c r="A47" s="30" t="s">
        <v>395</v>
      </c>
      <c r="B47" s="30" t="s">
        <v>396</v>
      </c>
      <c r="C47" s="30" t="s">
        <v>397</v>
      </c>
      <c r="D47" s="30" t="s">
        <v>398</v>
      </c>
      <c r="E47" s="30" t="s">
        <v>399</v>
      </c>
      <c r="F47" s="30" t="s">
        <v>342</v>
      </c>
      <c r="G47" s="30" t="s">
        <v>400</v>
      </c>
      <c r="H47" s="30" t="s">
        <v>25</v>
      </c>
      <c r="I47" s="30"/>
      <c r="J47" s="30"/>
    </row>
    <row r="48" spans="1:10" ht="43.5">
      <c r="A48" s="30" t="s">
        <v>401</v>
      </c>
      <c r="B48" s="33" t="s">
        <v>402</v>
      </c>
      <c r="C48" s="33" t="s">
        <v>403</v>
      </c>
      <c r="D48" s="33" t="s">
        <v>404</v>
      </c>
      <c r="E48" s="33" t="s">
        <v>405</v>
      </c>
      <c r="F48" s="33" t="s">
        <v>406</v>
      </c>
      <c r="G48" s="33" t="s">
        <v>407</v>
      </c>
      <c r="H48" s="30" t="s">
        <v>25</v>
      </c>
      <c r="I48" s="30"/>
      <c r="J48" s="30"/>
    </row>
    <row r="49" spans="1:10" ht="28.5">
      <c r="A49" s="30" t="s">
        <v>408</v>
      </c>
      <c r="B49" s="30" t="s">
        <v>409</v>
      </c>
      <c r="C49" s="30" t="s">
        <v>410</v>
      </c>
      <c r="D49" s="30" t="s">
        <v>411</v>
      </c>
      <c r="E49" s="30" t="s">
        <v>412</v>
      </c>
      <c r="F49" s="30" t="s">
        <v>413</v>
      </c>
      <c r="G49" s="33" t="s">
        <v>414</v>
      </c>
      <c r="H49" s="30" t="s">
        <v>25</v>
      </c>
      <c r="I49" s="30"/>
      <c r="J49" s="30"/>
    </row>
    <row r="50" spans="1:10" ht="28.5">
      <c r="A50" s="30" t="s">
        <v>415</v>
      </c>
      <c r="B50" s="30" t="s">
        <v>416</v>
      </c>
      <c r="C50" s="30" t="s">
        <v>417</v>
      </c>
      <c r="D50" s="30" t="s">
        <v>418</v>
      </c>
      <c r="E50" s="32" t="s">
        <v>419</v>
      </c>
      <c r="F50" s="30" t="s">
        <v>149</v>
      </c>
      <c r="G50" s="30" t="s">
        <v>420</v>
      </c>
      <c r="H50" s="30" t="s">
        <v>25</v>
      </c>
      <c r="I50" s="30"/>
      <c r="J50" s="30"/>
    </row>
    <row r="51" spans="1:10" ht="43.5">
      <c r="A51" s="30" t="s">
        <v>421</v>
      </c>
      <c r="B51" s="30" t="s">
        <v>422</v>
      </c>
      <c r="C51" s="30" t="s">
        <v>423</v>
      </c>
      <c r="D51" s="30" t="s">
        <v>424</v>
      </c>
      <c r="E51" s="32" t="s">
        <v>425</v>
      </c>
      <c r="F51" s="30" t="s">
        <v>149</v>
      </c>
      <c r="G51" s="32" t="s">
        <v>426</v>
      </c>
      <c r="H51" s="30" t="s">
        <v>25</v>
      </c>
      <c r="I51" s="30"/>
      <c r="J51" s="30"/>
    </row>
    <row r="52" spans="1:10" ht="28.5">
      <c r="A52" s="33" t="s">
        <v>427</v>
      </c>
      <c r="B52" s="33" t="s">
        <v>428</v>
      </c>
      <c r="C52" s="33" t="s">
        <v>429</v>
      </c>
      <c r="D52" s="33" t="s">
        <v>369</v>
      </c>
      <c r="E52" s="33" t="s">
        <v>430</v>
      </c>
      <c r="F52" s="33" t="s">
        <v>149</v>
      </c>
      <c r="G52" s="33" t="s">
        <v>431</v>
      </c>
      <c r="H52" s="30" t="s">
        <v>25</v>
      </c>
      <c r="I52" s="30"/>
      <c r="J52" s="30"/>
    </row>
    <row r="53" spans="1:10" ht="28.5">
      <c r="A53" s="30" t="s">
        <v>432</v>
      </c>
      <c r="B53" s="30" t="s">
        <v>433</v>
      </c>
      <c r="C53" s="30" t="s">
        <v>434</v>
      </c>
      <c r="D53" s="30" t="s">
        <v>435</v>
      </c>
      <c r="E53" s="30" t="s">
        <v>436</v>
      </c>
      <c r="F53" s="30" t="s">
        <v>437</v>
      </c>
      <c r="G53" s="33" t="s">
        <v>438</v>
      </c>
      <c r="H53" s="30" t="s">
        <v>25</v>
      </c>
      <c r="I53" s="30"/>
      <c r="J53" s="30"/>
    </row>
    <row r="54" spans="1:10" ht="43.5">
      <c r="A54" s="30" t="s">
        <v>439</v>
      </c>
      <c r="B54" s="30" t="s">
        <v>440</v>
      </c>
      <c r="C54" s="30" t="s">
        <v>441</v>
      </c>
      <c r="D54" s="30" t="s">
        <v>442</v>
      </c>
      <c r="E54" s="32" t="s">
        <v>443</v>
      </c>
      <c r="F54" s="30" t="s">
        <v>444</v>
      </c>
      <c r="G54" s="34" t="s">
        <v>445</v>
      </c>
      <c r="H54" s="34" t="s">
        <v>25</v>
      </c>
      <c r="I54" s="34" t="s">
        <v>446</v>
      </c>
      <c r="J54" s="30"/>
    </row>
    <row r="55" spans="1:10" ht="28.5">
      <c r="A55" s="30" t="s">
        <v>447</v>
      </c>
      <c r="B55" s="30" t="s">
        <v>448</v>
      </c>
      <c r="C55" s="30" t="s">
        <v>449</v>
      </c>
      <c r="D55" s="30" t="s">
        <v>450</v>
      </c>
      <c r="E55" s="32" t="s">
        <v>451</v>
      </c>
      <c r="F55" s="30" t="s">
        <v>452</v>
      </c>
      <c r="G55" s="30" t="s">
        <v>453</v>
      </c>
      <c r="H55" s="30" t="s">
        <v>25</v>
      </c>
      <c r="I55" s="30"/>
      <c r="J55" s="30"/>
    </row>
    <row r="56" spans="1:10" ht="28.5">
      <c r="A56" s="29" t="s">
        <v>6</v>
      </c>
      <c r="B56" s="29" t="s">
        <v>300</v>
      </c>
      <c r="C56" s="29" t="s">
        <v>301</v>
      </c>
      <c r="D56" s="29" t="s">
        <v>302</v>
      </c>
      <c r="E56" s="29" t="s">
        <v>303</v>
      </c>
      <c r="F56" s="29" t="s">
        <v>304</v>
      </c>
      <c r="G56" s="29" t="s">
        <v>305</v>
      </c>
      <c r="H56" s="29" t="s">
        <v>306</v>
      </c>
      <c r="I56" s="29" t="s">
        <v>14</v>
      </c>
      <c r="J56" s="29" t="s">
        <v>15</v>
      </c>
    </row>
    <row r="57" spans="1:10" ht="72">
      <c r="A57" s="30" t="s">
        <v>454</v>
      </c>
      <c r="B57" s="30" t="s">
        <v>355</v>
      </c>
      <c r="C57" s="30" t="s">
        <v>455</v>
      </c>
      <c r="D57" s="30" t="s">
        <v>456</v>
      </c>
      <c r="E57" s="30" t="s">
        <v>457</v>
      </c>
      <c r="F57" s="30" t="s">
        <v>458</v>
      </c>
      <c r="G57" s="30" t="s">
        <v>459</v>
      </c>
      <c r="H57" s="30" t="s">
        <v>25</v>
      </c>
      <c r="I57" s="30"/>
      <c r="J57" s="30"/>
    </row>
    <row r="58" spans="1:10" ht="57.75">
      <c r="A58" s="30" t="s">
        <v>460</v>
      </c>
      <c r="B58" s="30" t="s">
        <v>355</v>
      </c>
      <c r="C58" s="30" t="s">
        <v>461</v>
      </c>
      <c r="D58" s="30" t="s">
        <v>462</v>
      </c>
      <c r="E58" s="30" t="s">
        <v>463</v>
      </c>
      <c r="F58" s="30" t="s">
        <v>464</v>
      </c>
      <c r="G58" s="30" t="s">
        <v>465</v>
      </c>
      <c r="H58" s="30" t="s">
        <v>25</v>
      </c>
      <c r="I58" s="30"/>
      <c r="J58" s="30"/>
    </row>
    <row r="59" spans="1:10" ht="57.75">
      <c r="A59" s="30" t="s">
        <v>466</v>
      </c>
      <c r="B59" s="30" t="s">
        <v>355</v>
      </c>
      <c r="C59" s="30" t="s">
        <v>467</v>
      </c>
      <c r="D59" s="30" t="s">
        <v>468</v>
      </c>
      <c r="E59" s="30" t="s">
        <v>469</v>
      </c>
      <c r="F59" s="30" t="s">
        <v>470</v>
      </c>
      <c r="G59" s="30" t="s">
        <v>471</v>
      </c>
      <c r="H59" s="30" t="s">
        <v>25</v>
      </c>
      <c r="I59" s="30"/>
      <c r="J59" s="30"/>
    </row>
    <row r="60" spans="1:10" ht="43.5">
      <c r="A60" s="30" t="s">
        <v>472</v>
      </c>
      <c r="B60" s="30" t="s">
        <v>355</v>
      </c>
      <c r="C60" s="30" t="s">
        <v>473</v>
      </c>
      <c r="D60" s="30" t="s">
        <v>474</v>
      </c>
      <c r="E60" s="32" t="s">
        <v>475</v>
      </c>
      <c r="F60" s="30" t="s">
        <v>458</v>
      </c>
      <c r="G60" s="30" t="s">
        <v>476</v>
      </c>
      <c r="H60" s="30" t="s">
        <v>25</v>
      </c>
      <c r="I60" s="30"/>
      <c r="J60" s="30"/>
    </row>
    <row r="61" spans="1:10" ht="14.25">
      <c r="A61" s="35"/>
      <c r="B61" s="35"/>
      <c r="C61" s="35"/>
      <c r="D61" s="35"/>
      <c r="E61" s="35"/>
      <c r="F61" s="35"/>
      <c r="G61" s="35"/>
      <c r="H61" s="35"/>
      <c r="I61" s="35"/>
      <c r="J61" s="35"/>
    </row>
    <row r="62" spans="1:10" ht="14.25">
      <c r="A62" s="35"/>
      <c r="B62" s="35"/>
      <c r="C62" s="35"/>
      <c r="D62" s="35"/>
      <c r="E62" s="35"/>
      <c r="F62" s="35"/>
      <c r="G62" s="35"/>
      <c r="H62" s="35"/>
      <c r="I62" s="35"/>
      <c r="J62" s="35"/>
    </row>
    <row r="63" spans="1:10" ht="14.25">
      <c r="A63" s="35"/>
      <c r="B63" s="35"/>
      <c r="C63" s="35"/>
      <c r="D63" s="35"/>
      <c r="E63" s="35"/>
      <c r="F63" s="35"/>
      <c r="G63" s="35"/>
      <c r="H63" s="35"/>
      <c r="I63" s="35"/>
      <c r="J63" s="35"/>
    </row>
    <row r="64" spans="1:10" ht="14.25">
      <c r="A64" s="35"/>
      <c r="B64" s="35"/>
      <c r="C64" s="35"/>
      <c r="D64" s="35"/>
      <c r="E64" s="35"/>
      <c r="F64" s="35"/>
      <c r="G64" s="35"/>
      <c r="H64" s="35"/>
      <c r="I64" s="35"/>
      <c r="J64" s="35"/>
    </row>
    <row r="65" ht="14.25"/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D049-40B6-4129-8510-DD95B6353DB5}">
  <dimension ref="A1:K9"/>
  <sheetViews>
    <sheetView workbookViewId="0">
      <selection activeCell="D18" sqref="D18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7" t="s">
        <v>0</v>
      </c>
      <c r="B1" s="18"/>
      <c r="C1" s="18"/>
      <c r="D1" s="18"/>
      <c r="E1" s="19"/>
      <c r="F1" s="1"/>
      <c r="G1" s="1"/>
      <c r="H1" s="1"/>
      <c r="I1" s="1"/>
      <c r="J1" s="1"/>
      <c r="K1" s="1"/>
    </row>
    <row r="2" spans="1:11">
      <c r="A2" s="20"/>
      <c r="B2" s="21"/>
      <c r="C2" s="21"/>
      <c r="D2" s="21"/>
      <c r="E2" s="22"/>
      <c r="F2" s="1"/>
      <c r="G2" s="1"/>
      <c r="H2" s="1"/>
      <c r="I2" s="1"/>
      <c r="J2" s="1"/>
      <c r="K2" s="1"/>
    </row>
    <row r="3" spans="1:11">
      <c r="A3" s="23"/>
      <c r="B3" s="24"/>
      <c r="C3" s="24"/>
      <c r="D3" s="24"/>
      <c r="E3" s="25"/>
      <c r="F3" s="1"/>
      <c r="G3" s="1"/>
      <c r="H3" s="1"/>
      <c r="I3" s="1"/>
      <c r="J3" s="1"/>
      <c r="K3" s="1"/>
    </row>
    <row r="4" spans="1:11">
      <c r="A4" s="26" t="s">
        <v>1</v>
      </c>
      <c r="B4" s="27"/>
      <c r="C4" s="28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26" t="s">
        <v>3</v>
      </c>
      <c r="B5" s="27"/>
      <c r="C5" s="28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26" t="s">
        <v>4</v>
      </c>
      <c r="B6" s="27"/>
      <c r="C6" s="28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26" t="s">
        <v>5</v>
      </c>
      <c r="B7" s="27"/>
      <c r="C7" s="28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2026-06-24T06:46:48Z</dcterms:modified>
  <cp:category/>
  <cp:contentStatus/>
</cp:coreProperties>
</file>