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esktop\Land - Copy\Testcase\"/>
    </mc:Choice>
  </mc:AlternateContent>
  <xr:revisionPtr revIDLastSave="0" documentId="13_ncr:1_{6FEE547C-DD4E-4C39-A980-6C7F21F0D7BB}" xr6:coauthVersionLast="47" xr6:coauthVersionMax="47" xr10:uidLastSave="{00000000-0000-0000-0000-000000000000}"/>
  <bookViews>
    <workbookView xWindow="19090" yWindow="-2600" windowWidth="25820" windowHeight="15500" xr2:uid="{00000000-000D-0000-FFFF-FFFF00000000}"/>
  </bookViews>
  <sheets>
    <sheet name="Tìm kiếm" sheetId="1" r:id="rId1"/>
    <sheet name="Map" sheetId="2" r:id="rId2"/>
    <sheet name="Thông tin chung" sheetId="3" r:id="rId3"/>
    <sheet name="Công cụ đo vẽ" sheetId="4" r:id="rId4"/>
    <sheet name="Sheet5" sheetId="5" r:id="rId5"/>
    <sheet name="Sheet6" sheetId="6" r:id="rId6"/>
    <sheet name="Sheet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6" l="1"/>
  <c r="E6" i="6"/>
  <c r="E5" i="6"/>
  <c r="E4" i="6"/>
  <c r="E7" i="5"/>
  <c r="E6" i="5"/>
  <c r="E5" i="5"/>
  <c r="E4" i="5"/>
  <c r="E7" i="4"/>
  <c r="E6" i="4"/>
  <c r="E5" i="4"/>
  <c r="E4" i="4"/>
  <c r="E7" i="3"/>
  <c r="E6" i="3"/>
  <c r="E5" i="3"/>
  <c r="E4" i="3"/>
  <c r="E7" i="2"/>
  <c r="E6" i="2"/>
  <c r="E5" i="2"/>
  <c r="E4" i="2"/>
  <c r="E7" i="1"/>
  <c r="E6" i="1"/>
  <c r="E5" i="1"/>
  <c r="E4" i="1"/>
</calcChain>
</file>

<file path=xl/sharedStrings.xml><?xml version="1.0" encoding="utf-8"?>
<sst xmlns="http://schemas.openxmlformats.org/spreadsheetml/2006/main" count="923" uniqueCount="699">
  <si>
    <r>
      <t xml:space="preserve">KỊCH BẢN KIỂM THỬ
</t>
    </r>
    <r>
      <rPr>
        <sz val="16"/>
        <rFont val="Times New Roman"/>
        <family val="1"/>
      </rPr>
      <t>Dự án: &lt;&lt;Tên dự án&gt;&gt;</t>
    </r>
  </si>
  <si>
    <t>Số trường hợp kiểm thử đạt (Pass)</t>
  </si>
  <si>
    <t>x</t>
  </si>
  <si>
    <t>Số trường hợp kiểm thử không đạt (Fail)</t>
  </si>
  <si>
    <t>Số trường hợp kiểm thử Không test(Pending)</t>
  </si>
  <si>
    <t>Tổng số trường hợp kiểm thử</t>
  </si>
  <si>
    <t>Mã trường hợp kiểm thử</t>
  </si>
  <si>
    <r>
      <t xml:space="preserve">Chức năng
</t>
    </r>
    <r>
      <rPr>
        <i/>
        <sz val="9"/>
        <rFont val="Times New Roman"/>
        <family val="1"/>
      </rPr>
      <t>&lt;&lt;Liệt kê các chức năng cần kiểm thử&gt;&gt;</t>
    </r>
  </si>
  <si>
    <r>
      <t xml:space="preserve">Mô tả
</t>
    </r>
    <r>
      <rPr>
        <i/>
        <sz val="9"/>
        <rFont val="Times New Roman"/>
        <family val="1"/>
      </rPr>
      <t>&lt;&lt; Mô tả test case đáp ứng có kịch bản &gt;&gt;</t>
    </r>
  </si>
  <si>
    <r>
      <t xml:space="preserve">Điều kiện tiên quyết
</t>
    </r>
    <r>
      <rPr>
        <sz val="9"/>
        <rFont val="Times New Roman"/>
        <family val="1"/>
      </rPr>
      <t>&lt;&lt; Mô tả điều kiện cần đáp ứng &gt;&gt;</t>
    </r>
  </si>
  <si>
    <r>
      <t xml:space="preserve">Các bước thực hiện
</t>
    </r>
    <r>
      <rPr>
        <i/>
        <sz val="9"/>
        <rFont val="Times New Roman"/>
        <family val="1"/>
      </rPr>
      <t>&lt;&lt; Mô tả test case đáp ứng có kịch bản &gt;&gt;</t>
    </r>
  </si>
  <si>
    <r>
      <t xml:space="preserve">Dữ liệu test
</t>
    </r>
    <r>
      <rPr>
        <i/>
        <sz val="9"/>
        <rFont val="Times New Roman"/>
        <family val="1"/>
      </rPr>
      <t>&lt;&lt;Dữ liệu cần để thực hiện kịch bản&gt;&gt;</t>
    </r>
  </si>
  <si>
    <r>
      <t xml:space="preserve">Kết quả mong muốn
</t>
    </r>
    <r>
      <rPr>
        <i/>
        <sz val="9"/>
        <rFont val="Times New Roman"/>
        <family val="1"/>
      </rPr>
      <t>&lt;&lt; Mô tả kết quả mong muốn &gt;&gt;</t>
    </r>
  </si>
  <si>
    <r>
      <t xml:space="preserve">Kết quả
</t>
    </r>
    <r>
      <rPr>
        <i/>
        <sz val="9"/>
        <rFont val="Times New Roman"/>
        <family val="1"/>
      </rPr>
      <t>&lt;&lt;Trạng thái Test&gt;&gt;</t>
    </r>
  </si>
  <si>
    <t>Người thực hiện</t>
  </si>
  <si>
    <t>Ngày thực hiện</t>
  </si>
  <si>
    <r>
      <t xml:space="preserve">Ghi chú
</t>
    </r>
    <r>
      <rPr>
        <i/>
        <sz val="9"/>
        <color theme="1"/>
        <rFont val="Times New Roman"/>
        <family val="1"/>
      </rPr>
      <t>&lt;&lt; Bằng chứng lỗi, mã lỗi &gt;&gt;</t>
    </r>
  </si>
  <si>
    <t>Kiểm tra hiển thị mặc định của tab 'Tìm kiếm tổng hợp' và placeholder trong ô nhập liệu.</t>
  </si>
  <si>
    <t>Kiểm tra hiển thị dòng ghi chú pháp lý ở footer tìm kiếm.</t>
  </si>
  <si>
    <t>Kiểm tra hiển thị tag 'Mới'/'Cũ' cạnh địa chỉ hành chính.</t>
  </si>
  <si>
    <t>Kiểm tra hiển thị dòng ghi chú pháp lý có bị che khuất bởi các phần tử khác không.</t>
  </si>
  <si>
    <t>Kiểm tra hiển thị thông báo lỗi khi nhập liệu không hợp lệ.</t>
  </si>
  <si>
    <t>Kiểm tra dòng ghi chú pháp lý không hiển thị khi không có kết quả tìm kiếm.</t>
  </si>
  <si>
    <t>Kiểm tra hiển thị</t>
  </si>
  <si>
    <t>Chức năng Tìm kiếm</t>
  </si>
  <si>
    <t>Người dùng đã truy cập trang Bất động sản 360.</t>
  </si>
  <si>
    <t>1. Truy cập vào trang Bất động sản 360.
2. Kiểm tra tab 'Tìm kiếm tổng hợp' có được chọn mặc định hay không.
3. Kiểm tra ô nhập liệu có hiển thị placeholder đúng như mô tả hay không.</t>
  </si>
  <si>
    <t>1. Truy cập trang Bất động sản 360.
2. Kiểm tra footer của trang tìm kiếm có hiển thị dòng 'Dữ liệu tham khảo...' hay không.</t>
  </si>
  <si>
    <t>1. Truy cập trang Bất động sản 360.
2. Tìm kiếm một địa điểm có cả địa chỉ hành chính mới và cũ.
3. Kiểm tra tag 'Mới' và 'Cũ' có hiển thị đúng màu (xanh/xám) cạnh địa chỉ hay không.</t>
  </si>
  <si>
    <t>1. Truy cập trang Bất động sản 360.
2. Thực hiện tìm kiếm với thông tin bất kỳ.
3. Kiểm tra dòng ghi chú pháp lý có bị che khuất bởi các phần tử khác không.</t>
  </si>
  <si>
    <t>1. Truy cập trang Bất động sản 360.
2. Thực hiện tìm kiếm với thông tin không hợp lệ (ví dụ: ký tự đặc biệt).
3. Kiểm tra thông báo lỗi có hiển thị hay không.</t>
  </si>
  <si>
    <t>1. Truy cập trang Bất động sản 360.
2. Thực hiện tìm kiếm với thông tin không tồn tại.
3. Kiểm tra dòng ghi chú pháp lý có hiển thị khi không có kết quả hay không.</t>
  </si>
  <si>
    <t>Dòng 'Dữ liệu tham khảo, vui lòng liên hệ cơ quan chức năng...' hiển thị đầy đủ và chính xác ở footer trang tìm kiếm.</t>
  </si>
  <si>
    <t>Tag 'Mới' hiển thị màu xanh, tag 'Cũ' hiển thị màu xám cạnh địa chỉ hành chính tương ứng.</t>
  </si>
  <si>
    <t>Dòng ghi chú pháp lý hiển thị đầy đủ, không bị che khuất bởi các phần tử khác.</t>
  </si>
  <si>
    <t>Dòng ghi chú pháp lý vẫn hiển thị khi không có kết quả tìm kiếm.</t>
  </si>
  <si>
    <t>Chức năng Tìm kiếm - Tìm kiếm Tổng hợp</t>
  </si>
  <si>
    <t>Kiểm tra hiển thị gợi ý khi nhập từ khóa</t>
  </si>
  <si>
    <t>Kiểm tra gợi ý địa danh</t>
  </si>
  <si>
    <t>Kiểm tra gợi ý nhóm hành chính</t>
  </si>
  <si>
    <t>Kiểm tra hiển thị gợi ý tìm kiếm khi nhập từ khóa</t>
  </si>
  <si>
    <t>Kiểm tra tìm kiếm khi để trống ô nhập liệu</t>
  </si>
  <si>
    <t>Kiểm tra tìm kiếm với số lượng ký tự vượt quá giới hạn cho phép</t>
  </si>
  <si>
    <t>Kiểm tra tìm kiếm với các ký tự đặc biệt</t>
  </si>
  <si>
    <t>Kiểm tra tìm kiếm với XSS injection</t>
  </si>
  <si>
    <t>Kiểm tra tìm kiếm với từ khóa không tồn tại</t>
  </si>
  <si>
    <t>Kiểm tra chức năng click vào gợi ý tìm kiếm</t>
  </si>
  <si>
    <t>Kiểm tra hiển thị lịch sử tìm kiếm</t>
  </si>
  <si>
    <t>Kiểm tra chức năng click vào lịch sử tìm kiếm</t>
  </si>
  <si>
    <t>Kiể̉m tra hiển thị</t>
  </si>
  <si>
    <t>Người dùng đã truy cập trang Bất động sản 360 và ở tab tìm kiếm Tổng hợp.</t>
  </si>
  <si>
    <t>Người dùng đã truy cập trang Bất động sản 360 và đã thực hiện tìm kiếm trước đó.</t>
  </si>
  <si>
    <t>Người dùng đã truy cập trang Bất động sản 360 và có lịch sử tìm kiếm hiển thị.</t>
  </si>
  <si>
    <t>1. Truy cập trang Bất động sản 360.
2. Nhập một vài ký tự (ví dụ: 'Hà N') vào ô tìm kiếm tổng hợp.
3. Chờ hệ thống hiển thị gợi ý.</t>
  </si>
  <si>
    <t>1. Truy cập trang Bất động sản 360.
2. Nhập một vài ký tự của một địa danh phổ biến (ví dụ: 'Landmark') vào ô tìm kiếm tổng hợp.
3. Quan sát các gợi ý hiển thị.</t>
  </si>
  <si>
    <t>1. Truy cập trang Bất động sản 360.
2. Nhập một vài ký tự của một tỉnh/thành phố (ví dụ: 'Hà N') vào ô tìm kiếm tổng hợp.
3. Quan sát các gợi ý hiển thị.</t>
  </si>
  <si>
    <t>1. Truy cập trang Bất động sản 360.
2. Nhập một vài ký tự vào ô tìm kiếm tổng hợp.
3. Quan sát danh sách gợi ý hiển thị.</t>
  </si>
  <si>
    <t>1. Truy cập trang Bất động sản 360.
2. Nhập vào ô tìm kiếm tổng hợp.
3. Không nhập bất kỳ ký tự nào, để trống hoàn toàn.
4. Nhấn phím Enter hoặc click vào biểu tượng tìm kiếm.</t>
  </si>
  <si>
    <t>1. Truy cập trang Bất động sản 360.
2. Nhập các ký tự đặc biệt (@, #, $, %, ^, etc.) vào ô tìm kiếm tổng hợp.
3. Nhấn phím Enter hoặc click vào biểu tượng tìm kiếm.</t>
  </si>
  <si>
    <t>1. Truy cập trang Bất động sản 360.
2. Nhập đoạn mã XSS (ví dụ: &lt;script&gt;alert(1)&lt;/script&gt;) vào ô tìm kiếm tổng hợp.
3. Nhấn phím Enter hoặc click vào biểu tượng tìm kiếm.</t>
  </si>
  <si>
    <t>1. Truy cập trang Bất động sản 360.
2. Nhập một từ khóa không tồn tại (ví dụ: 'abcxyz123') vào ô tìm kiếm tổng hợp.
3. Nhấn phím Enter hoặc click vào biểu tượng tìm kiếm.</t>
  </si>
  <si>
    <t>1. Truy cập trang Bất động sản 360.
2. Nhập một vài ký tự vào ô tìm kiếm tổng hợp để hiển thị gợi ý.
3. Click vào một gợi ý trong danh sách.</t>
  </si>
  <si>
    <t>1. Truy cập trang Bất động sản 360.
2. Thực hiện một vài tìm kiếm.
3. Click vào ô tìm kiếm tổng hợp.</t>
  </si>
  <si>
    <t>1. Truy cập trang Bất động sản 360.
2. Hiển thị lịch sử tìm kiếm.
3. Click vào một địa điểm trong lịch sử tìm kiếm.</t>
  </si>
  <si>
    <t>Hệ thống hiển thị dropdown gợi ý chứa các địa điểm (nhóm hành chính, địa danh) phù hợp với từ khóa đã nhập.</t>
  </si>
  <si>
    <t>Hệ thống hiển thị các gợi ý địa danh liên quan đến từ khóa 'Landmark' (ví dụ: Landmark 81, Vinhomes Landmark Central Park, etc.).</t>
  </si>
  <si>
    <t>Hệ thống hiển thị các gợi ý nhóm hành chính liên quan đến từ khóa 'Hà N' (ví dụ: Hà Nội, Hà Nam, etc.).</t>
  </si>
  <si>
    <t>Danh sách gợi ý hiển thị các địa điểm, khu vực liên quan đến từ khóa đã nhập.</t>
  </si>
  <si>
    <t>Hệ thống không thực hiện tìm kiếm và hiển thị thông báo yêu cầu người dùng nhập thông tin tìm kiếm, hoặc bản đồ tự động chọn vị trí hiện tại.</t>
  </si>
  <si>
    <t>Hệ thống giới hạn số lượng ký tự nhập vào, hoặc hệ thống hiển thị thông báo lỗi và không thực hiện tìm kiếm, hoặc cắt chuỗi nhập vào về số lượng ký tự tối đa cho phép.</t>
  </si>
  <si>
    <t>Hệ thống thực hiện tìm kiếm an toàn và không bị crash. Kết quả trả về có thể không có, hoặc hiển thị các địa điểm chứa các ký tự đặc biệt (nếu có).</t>
  </si>
  <si>
    <t>Hệ thống sanitize input, loại bỏ hoặc vô hiệu hóa đoạn mã XSS, và không thực thi script. Giao diện hiển thị bình thường, không bị ảnh hưởng bởi XSS.</t>
  </si>
  <si>
    <t>Hệ thống hiển thị thông báo 'Không tìm thấy vị trí này' hoặc một thông báo tương tự, và có thể tự động chọn vị trí hiện tại của người dùng.</t>
  </si>
  <si>
    <t>Bản đồ di chuyển đến vị trí đã chọn trong gợi ý, hiển thị pin đánh dấu vị trí và zoom đến mức phù hợp.</t>
  </si>
  <si>
    <t>Hiển thị danh sách các địa điểm đã tìm kiếm trước đó trong lịch sử tìm kiếm.</t>
  </si>
  <si>
    <t>Bản đồ di chuyển đến vị trí đã chọn trong lịch sử tìm kiếm, hiển thị pin đánh dấu vị trí và zoom đến mức phù hợp.</t>
  </si>
  <si>
    <t>Chức năng Tìm kiếm - Tìm kiếm Hành chính</t>
  </si>
  <si>
    <t>Kiểm tra hiển thị dropdown khi chọn '63 tỉnh'</t>
  </si>
  <si>
    <t>Kiểm tra hiển thị dropdown khi chọn '34 tỉnh'</t>
  </si>
  <si>
    <t>Kiểm tra dropdown Quận/Huyện disable khi chưa chọn Tỉnh/Thành phố</t>
  </si>
  <si>
    <t>Kiểm tra thông báo lỗi khi submit form thiếu thông tin Tỉnh.</t>
  </si>
  <si>
    <t>Kiểm tra logic cascading dropdown khi chọn Tỉnh</t>
  </si>
  <si>
    <t>Kiểm tra reset giá trị khi thay đổi Tỉnh</t>
  </si>
  <si>
    <t>Kiểm tra chức năng tìm kiếm thành công và bản đồ zoom đến khu vực.</t>
  </si>
  <si>
    <t>Người dùng chưa chọn 'Tỉnh/Thành phố'.</t>
  </si>
  <si>
    <t>Người dùng đã truy cập trang Bất động sản 360 và đã chọn Tỉnh/Thành phố, Quận/Huyện, Phường/Xã.</t>
  </si>
  <si>
    <t>Người dùng đã chọn đầy đủ thông tin hành chính hợp lệ.</t>
  </si>
  <si>
    <t>1. Truy cập trang Bất động sản 360.
2. Chọn tab 'Tìm kiếm hành chính'.
3. Chọn radio button '63 tỉnh'.</t>
  </si>
  <si>
    <t>1. Truy cập trang Bất động sản 360.
2. Chọn tab 'Tìm kiếm hành chính'.
3. Chọn radio button '34 tỉnh'.</t>
  </si>
  <si>
    <t>1. Chọn tab 'Tìm kiếm hành chính'.
2. Kiểm tra trạng thái dropdown 'Quận/Huyện' khi chưa chọn 'Tỉnh/Thành phố'.</t>
  </si>
  <si>
    <t>1. Chọn tab 'Tìm kiếm hành chính'.
2. Bỏ trống trường 'Tỉnh/Thành phố'.
3. Nhấn nút 'Tìm kiếm'.</t>
  </si>
  <si>
    <t>1. Truy cập trang Bất động sản 360.
2. Chọn tab 'Tìm kiếm hành chính'.
3. Chọn một Tỉnh/Thành phố.
4. Kiểm tra danh sách Quận/Huyện hiển thị.</t>
  </si>
  <si>
    <t>1. Truy cập trang Bất động sản 360.
2. Chọn tab 'Tìm kiếm hành chính'.
3. Chọn một Tỉnh/Thành phố.
4. Chọn một Quận/Huyện và Phường/Xã.
5. Thay đổi Tỉnh/Thành phố.</t>
  </si>
  <si>
    <t>1. Chọn tab 'Tìm kiếm hành chính'.
2. Chọn 'Tỉnh/Thành phố', 'Quận/Huyện', 'Phường/Xã' hợp lệ.
3. Nhấn nút 'Tìm kiếm'.</t>
  </si>
  <si>
    <t>Hiển thị 3 dropdown: Tỉnh/Thành phố, Quận/Huyện, Phường/Xã.</t>
  </si>
  <si>
    <t>Ẩn dropdown 'Quận/Huyện', chỉ hiển thị dropdown 'Tỉnh/Thành phố' và 'Phường/Xã'.</t>
  </si>
  <si>
    <t>Dropdown 'Quận/Huyện' phải ở trạng thái disable hoặc hiển thị thông báo yêu cầu chọn 'Tỉnh/Thành phố' trước.</t>
  </si>
  <si>
    <t>Hệ thống hiển thị thông báo lỗi 'MSG003' yêu cầu chọn 'Tỉnh/Thành phố'.</t>
  </si>
  <si>
    <t>Danh sách Quận/Huyện hiển thị tương ứng với Tỉnh/Thành phố đã chọn.</t>
  </si>
  <si>
    <t>Giá trị Quận/Huyện và Phường/Xã được reset về trạng thái mặc định (trống).</t>
  </si>
  <si>
    <t>Bản đồ phải zoom đến ranh giới hành chính đã chọn (Phường/Xã, Quận/Huyện, hoặc Tỉnh/Thành phố).</t>
  </si>
  <si>
    <t>Chức năng Tìm kiếm - Tìm kiếm Tờ / Thửa</t>
  </si>
  <si>
    <t>Kiểm tra việc chặn nhập chữ và ký tự đặc biệt vào ô Số tờ bản đồ.</t>
  </si>
  <si>
    <t>Kiểm tra thông báo khi nhập số âm vào Số tờ bản đồ.</t>
  </si>
  <si>
    <t>Kiểm tra việc chặn nhập chữ và ký tự đặc biệt vào ô Số thửa đất.</t>
  </si>
  <si>
    <t>Kiểm tra tìm kiếm with số tờ and số thửa là số âm</t>
  </si>
  <si>
    <t>Kiểm tra tìm kiếm with số tờ and số thửa là 0</t>
  </si>
  <si>
    <t>Kiểm tra tìm kiếm khi bỏ trống số tờ bản đồ</t>
  </si>
  <si>
    <t>Kiểm tra tìm kiếm khi bỏ trống số thửa đất</t>
  </si>
  <si>
    <t>Kiểm tra tìm kiếm with số tờ bản đồ and số thửa đất là giá trị số cực lớn</t>
  </si>
  <si>
    <t>Kiểm tra tìm kiếm khi chưa chọn Tỉnh/Thành phố</t>
  </si>
  <si>
    <t>Kiểm tra tìm kiếm khi nhập đầy đủ thông tin nhưng không có dữ liệu</t>
  </si>
  <si>
    <t>Kiểm tra tìm kiếm số tờ thửa có ký tự đặc biệt</t>
  </si>
  <si>
    <t>Người dùng đang ở tab 'Tìm kiếm tờ / thửa'.</t>
  </si>
  <si>
    <t>1. Chọn tab 'Tìm kiếm tờ / thửa'.
2. Nhập chữ cái hoặc ký tự đặc biệt vào ô 'Số tờ bản đồ'.</t>
  </si>
  <si>
    <t>1. Chọn tab 'Tìm kiếm tờ / thửa'.
2. Nhập số âm vào ô 'Số tờ bản đồ'.
3. Nhấn nút 'Tìm kiếm'.</t>
  </si>
  <si>
    <t>1. Chọn tab 'Tìm kiếm tờ / thửa'.
2. Nhập chữ cái hoặc ký tự đặc biệt vào ô 'Số thửa đất'.</t>
  </si>
  <si>
    <t>1. Chọn tab 'Tìm kiếm tờ / thửa'.
2. Nhập số tờ bản đồ là '-123'.
3. Nhập số thửa đất là '-456'.
4. Chọn Tỉnh/Thành phố, Quận/Huyện, Phường/Xã bất kỳ.
5. Nhấn nút 'Tìm kiếm'.</t>
  </si>
  <si>
    <t>1. Chọn tab 'Tìm kiếm tờ / thửa'.
2. Nhập số tờ bản đồ là '0'.
3. Nhập số thửa đất là '0'.
4. Chọn Tỉnh/Thành phố, Quận/Huyện, Phường/Xã bất kỳ.
5. Nhấn nút 'Tìm kiếm'.</t>
  </si>
  <si>
    <t>1. Chọn tab 'Tìm kiếm tờ / thửa'.
2. Để trống trường 'Số tờ bản đồ'.
3. Nhập số thửa đất hợp lệ.
4. Chọn Tỉnh/Thành phố, Quận/Huyện, Phường/Xã bất kỳ.
5. Nhấn nút 'Tìm kiếm'.</t>
  </si>
  <si>
    <t>1. Chọn tab 'Tìm kiếm tờ / thửa'.
2. Nhập số tờ bản đồ hợp lệ.
3. Để trống trường 'Số thửa đất'.
4. Chọn Tỉnh/Thành phố, Quận/Huyện, Phường/Xã bất kỳ.
5. Nhấn nút 'Tìm kiếm'.</t>
  </si>
  <si>
    <t>1. Chọn tab 'Tìm kiếm tờ / thửa'.
2. Nhập số tờ bản đồ là '999999999999999'.
3. Nhập số thửa đất là '999999999999999'.
4. Chọn Tỉnh/Thành phố, Quận/Huyện, Phường/Xã bất kỳ.
5. Nhấn nút 'Tìm kiếm'.</t>
  </si>
  <si>
    <t>1. Chọn tab 'Tìm kiếm tờ / thửa'.
2. Nhập số tờ bản đồ hợp lệ.
3. Nhập số thửa đất hợp lệ.
4. Không chọn Tỉnh/Thành phố.
5. Nhấn nút 'Tìm kiếm'.</t>
  </si>
  <si>
    <t>1. Chọn tab 'Tìm kiếm tờ / thửa'.
2. Nhập số tờ bản đồ không tồn tại.
3. Nhập số thửa đất không tồn tại.
4. Chọn Tỉnh/Thành phố, Quận/Huyện, Phường/Xã bất kỳ.
5. Nhấn nút 'Tìm kiếm'.</t>
  </si>
  <si>
    <t>1. Chọn tab 'Tìm kiếm tờ / thửa'.
2. Nhập số tờ bản đồ chứa ký tự đặc biệt.
3. Nhập số thửa đất chứa ký tự đặc biệt.
4. Chọn Tỉnh/Thành phố, Quận/Huyện, Phường/Xã bất kỳ.
5. Nhấn nút 'Tìm kiếm'.</t>
  </si>
  <si>
    <t>Hệ thống hiển thị thông báo lỗi yêu cầu nhập số lớn hơn 0 cho số tờ và số thửa, hoặc không thực hiện tìm kiếm.</t>
  </si>
  <si>
    <t>Hệ thống hiển thị thông báo lỗi 'Số tờ bản đồ là bắt buộc'.</t>
  </si>
  <si>
    <t>Hệ thống hiển thị thông báo lỗi 'Số thửa đất là bắt buộc'.</t>
  </si>
  <si>
    <t>Hệ thống không bị crash. Hiển thị thông báo lỗi nếu giá trị quá lớn không hợp lệ, hoặc thực hiện tìm kiếm nếu giá trị nằm trong khoảng cho phép.</t>
  </si>
  <si>
    <t>Hệ thống hiển thị thông báo lỗi yêu cầu chọn Tỉnh/Thành phố.</t>
  </si>
  <si>
    <t>Hệ thống hiển thị popup MSG001 'Không tìm thấy dữ liệu phù hợp'.</t>
  </si>
  <si>
    <t>Hệ thống hiển thị thông báo lỗi yêu cầu nhập số cho số tờ và số thửa, hoặc loại bỏ ký tự đặc biệt và thực hiện tìm kiếm.</t>
  </si>
  <si>
    <t>Chức năng Tìm kiếm - Tìm kiếm theo Lat/Lon</t>
  </si>
  <si>
    <t>Kiểm tra nhập sai định dạng vĩ độ (dấu phẩy thay vì chấm)</t>
  </si>
  <si>
    <t>Kiểm tra nhập sai định dạng kinh độ (nhiều dấu chấm)</t>
  </si>
  <si>
    <t>Kiểm tra tọa độ ngoài phạm vi Việt Nam</t>
  </si>
  <si>
    <t>Kiểm tra nhập chữ cái vào trường vĩ độ</t>
  </si>
  <si>
    <t>Kiểm tra nhập ký tự đặc biệt vào trường kinh độ</t>
  </si>
  <si>
    <t>Người dùng ở tab Tìm kiếm Lat/Lon.</t>
  </si>
  <si>
    <t>1. Chọn tab 'Tìm kiếm Lat/Lon'.
2. Nhập vĩ độ với dấu phẩy (ví dụ: 21,021719).
3. Nhập kinh độ hợp lệ (ví dụ: 105.820288).
4. Nhấn nút 'Tìm kiếm'.</t>
  </si>
  <si>
    <t>1. Chọn tab 'Tìm kiếm Lat/Lon'.
2. Nhập vĩ độ hợp lệ (ví dụ: 21.021719).
3. Nhập kinh độ với nhiều dấu chấm (ví dụ: 105..820288).
4. Nhấn nút 'Tìm kiếm'.</t>
  </si>
  <si>
    <t>1. Chọn tab 'Tìm kiếm Lat/Lon'.
2. Nhập vĩ độ và kinh độ nằm ngoài lãnh thổ Việt Nam (ví dụ: Vĩ độ: 0, Kinh độ: 0).
3. Nhấn nút 'Tìm kiếm'.</t>
  </si>
  <si>
    <t>1. Chọn tab 'Tìm kiếm Lat/Lon'.
2. Nhập chữ cái vào trường Vĩ độ (ví dụ: abc).
3. Nhập kinh độ hợp lệ (ví dụ: 105.820288).
4. Nhấn nút 'Tìm kiếm'.</t>
  </si>
  <si>
    <t>1. Chọn tab 'Tìm kiếm Lat/Lon'.
2. Nhập vĩ độ hợp lệ (ví dụ: 21.021719).
3. Nhập ký tự đặc biệt vào trường Kinh độ (ví dụ: !@#).
4. Nhấn nút 'Tìm kiếm'.</t>
  </si>
  <si>
    <t>Hệ thống hiển thị thông báo lỗi định dạng không hợp lệ cho trường Vĩ độ và không thực hiện tìm kiếm.</t>
  </si>
  <si>
    <t>Chức năng Tìm kiếm - Tìm kiếm VN2000</t>
  </si>
  <si>
    <t>Kiểm tra nhập số âm vào tọa độ X</t>
  </si>
  <si>
    <t>Kiểm tra nhập chữ vào tọa độ X</t>
  </si>
  <si>
    <t>Kiểm tra tìm kiếm VN2000 khi bỏ trống tọa độ X</t>
  </si>
  <si>
    <t>Kiểm tra tìm kiếm VN2000 khi bỏ trống tọa độ Y</t>
  </si>
  <si>
    <t>Kiểm tra tìm kiếm VN2000 khi chưa chọn tỉnh/thành phố</t>
  </si>
  <si>
    <t>Kiểm tra tìm kiếm VN2000 with tọa độ and tỉnh không khớp</t>
  </si>
  <si>
    <t>Kiểm tra hiển thị loading khi mạng chậm trong quá trình tìm kiếm</t>
  </si>
  <si>
    <t>Kiểm tra hiển thị thông báo khi API tìm kiếm trả về lỗi 500</t>
  </si>
  <si>
    <t>Kiểm tra hiển thị thông báo khi API tìm kiếm trả về lỗi 503</t>
  </si>
  <si>
    <t>Kiểm tra xử lý timeout khi request tìm kiếm vượt quá thời gian cho phép</t>
  </si>
  <si>
    <t>Kiểm tra ngăn chặn double click nút Tìm kiếm</t>
  </si>
  <si>
    <t>Người dùng ở tab Tìm kiếm VN2000.</t>
  </si>
  <si>
    <t>Người dùng đã truy cập vào màn hình Bất động sản 360 và chọn tab 'Tìm kiếm VN2000'.</t>
  </si>
  <si>
    <t>Người dùng đã truy cập Bất động sản 360 và có kết nối mạng chậm.</t>
  </si>
  <si>
    <t>Người dùng đã truy cập màn hình tìm kiếm BĐS 360.</t>
  </si>
  <si>
    <t>1. Chọn tab 'Tìm kiếm VN2000'.
2. Chọn một tỉnh bất kỳ.
3. Nhập số âm vào trường 'Tọa độ X (m)' (ví dụ: -100).
4. Nhập giá trị hợp lệ vào trường 'Tọa độ Y (m)'.
5. Nhấn nút 'Tìm kiếm'.</t>
  </si>
  <si>
    <t>1. Chọn tab 'Tìm kiếm VN2000'.
2. Chọn một tỉnh bất kỳ.
3. Nhập chữ vào trường 'Tọa độ X (m)' (ví dụ: abc).
4. Nhập giá trị hợp lệ vào trường 'Tọa độ Y (m)'.
5. Nhấn nút 'Tìm kiếm'.</t>
  </si>
  <si>
    <t>1. Chọn tab 'Tìm kiếm VN2000'.
2. Chọn một tỉnh/thành phố.
3. Để trống trường 'Tọa độ X (m)'.
4. Nhập giá trị hợp lệ vào trường 'Tọa độ Y (m)'.
5. Nhấn nút 'Tìm kiếm'.</t>
  </si>
  <si>
    <t>1. Chọn tab 'Tìm kiếm VN2000'.
2. Chọn một tỉnh/thành phố.
3. Nhập giá trị hợp lệ vào trường 'Tọa độ X (m)'.
4. Để trống trường 'Tọa độ Y (m)'.
5. Nhấn nút 'Tìm kiếm'.</t>
  </si>
  <si>
    <t>1. Chọn tab 'Tìm kiếm VN2000'.
2. Để trống trường 'Tỉnh/Thành phố'.
3. Nhập giá trị hợp lệ vào trường 'Tọa độ X (m)' và 'Tọa độ Y (m)'.
4. Nhấn nút 'Tìm kiếm'.</t>
  </si>
  <si>
    <t>1. Chọn tab 'Tìm kiếm VN2000'.
2. Chọn một tỉnh/thành phố.
3. Nhập tọa độ X and Y không thuộc tỉnh đã chọn.
4. Nhấn nút 'Tìm kiếm'.</t>
  </si>
  <si>
    <t>1. Truy cập vào Bất động sản 360.
2. Mô phỏng kết nối mạng chậm (3G hoặc WiFi yếu).
3. Thực hiện thao tác tìm kiếm một địa điểm.
4. Kiểm tra xem loading indicator có hiển thị trong quá trình tìm kiếm hay không.</t>
  </si>
  <si>
    <t>1. Truy cập vào màn hình tìm kiếm BĐS 360.
2. Nhập thông tin tìm kiếm hợp lệ.
3. Giả lập lỗi 500 từ server khi API tìm kiếm được gọi.
4. Thực hiện tìm kiếm.</t>
  </si>
  <si>
    <t>1. Truy cập vào màn hình tìm kiếm BĐS 360.
2. Nhập thông tin tìm kiếm hợp lệ.
3. Giả lập lỗi 503 (Service Unavailable) từ server khi API tìm kiếm được gọi.
4. Thực hiện tìm kiếm.</t>
  </si>
  <si>
    <t>1. Truy cập vào màn hình tìm kiếm BĐS 360.
2. Nhập thông tin tìm kiếm.
3. Giả lập tình huống request tìm kiếm bị timeout (ví dụ: mất kết nối mạng hoặc server xử lý chậm).
4. Thực hiện tìm kiếm.</t>
  </si>
  <si>
    <t>1. Truy cập vào màn hình tìm kiếm BĐS 360.
2. Nhập thông tin tìm kiếm hợp lệ.
3. Click đúp (double click) liên tục vào nút "Tìm kiếm".</t>
  </si>
  <si>
    <t>Loading indicator phải hiển thị trong quá trình tìm kiếm khi kết nối mạng chậm.</t>
  </si>
  <si>
    <t>Chỉ có một request tìm kiếm được gửi đi. Các click sau đó trong một khoảng thời gian ngắn bị bỏ qua hoặc request cũ bị hủy trước khi gửi request mới.</t>
  </si>
  <si>
    <t>Chức năng bản đồ</t>
  </si>
  <si>
    <t>Hệ thống hiển thị thông báo lỗi "Không tìm thấy thông tin tỉnh. Vui lòng chọn lại tỉnh."</t>
  </si>
  <si>
    <t>Hệ thống tự động xóa</t>
  </si>
  <si>
    <t>Hệ thống tự động xóa ký tự đặc biệt</t>
  </si>
  <si>
    <t>Đi đến tọa độ tìm kiếm</t>
  </si>
  <si>
    <t>Hiển thị thông báo lỗi timeout cho người dùng</t>
  </si>
  <si>
    <t>Hệ thống tự động xóa chỗ bị sai</t>
  </si>
  <si>
    <t>1. Chọn tab 'Tìm kiếm Lat/Lon'.
2. Nhập vĩ độ (ví dụ: 29999999).
3. Nhập Kinh độ (ví dụ: 9999999999).
4. Nhấn nút 'Tìm kiếm'.</t>
  </si>
  <si>
    <t>Hệ thống hiển thị lỗi "không tìm thấy kết quả phù hợp"</t>
  </si>
  <si>
    <t>Kiểm tra nhập tọa dộ không tồn tại</t>
  </si>
  <si>
    <t xml:space="preserve">Hệ thống phải chặn không cho nhập chữ cái hoặc ký tự đặc biệt vào ô </t>
  </si>
  <si>
    <t>Hệ thống phải chặn không cho nhập chữ cái hoặc ký tự đặc biệt vào ô 'Số thửa đất'</t>
  </si>
  <si>
    <t>Hệ thống phải chặn không cho nhập chữ cái hoặc ký tự đặc biệt vào ô 'Số tờ bản đồ'</t>
  </si>
  <si>
    <t>Tab 'Tìm kiếm tổng hợp' được chọn mặc định. Ô nhập liệu hiển thị placeholder chính xác</t>
  </si>
  <si>
    <t>Bản đồ nền</t>
  </si>
  <si>
    <t>Hiển thị nút Bản đồ nền</t>
  </si>
  <si>
    <t>User đang ở màn hình bản đồ</t>
  </si>
  <si>
    <t>Quan sát góc phải dưới màn hình</t>
  </si>
  <si>
    <t>Mở popup Bản đồ nền</t>
  </si>
  <si>
    <t>Click icon layer ở góc phải dưới</t>
  </si>
  <si>
    <t>Popup “Bản đồ nền” mở ra đúng vị trí</t>
  </si>
  <si>
    <t>Hiển thị danh sách bản đồ nền</t>
  </si>
  <si>
    <t>Popup đang mở</t>
  </si>
  <si>
    <t>Quan sát danh sách</t>
  </si>
  <si>
    <r>
      <t xml:space="preserve">Hiển thị đủ các lựa chọn: </t>
    </r>
    <r>
      <rPr>
        <b/>
        <sz val="11"/>
        <color theme="1"/>
        <rFont val="Arial"/>
        <family val="2"/>
        <scheme val="minor"/>
      </rPr>
      <t>Giao thông</t>
    </r>
    <r>
      <rPr>
        <sz val="11"/>
        <color theme="1"/>
        <rFont val="Arial"/>
        <family val="2"/>
        <scheme val="minor"/>
      </rPr>
      <t xml:space="preserve">, </t>
    </r>
    <r>
      <rPr>
        <b/>
        <sz val="11"/>
        <color theme="1"/>
        <rFont val="Arial"/>
        <family val="2"/>
        <scheme val="minor"/>
      </rPr>
      <t>BDHC 2025</t>
    </r>
    <r>
      <rPr>
        <sz val="11"/>
        <color theme="1"/>
        <rFont val="Arial"/>
        <family val="2"/>
        <scheme val="minor"/>
      </rPr>
      <t xml:space="preserve">, </t>
    </r>
    <r>
      <rPr>
        <b/>
        <sz val="11"/>
        <color theme="1"/>
        <rFont val="Arial"/>
        <family val="2"/>
        <scheme val="minor"/>
      </rPr>
      <t>Vệ tinh (Google)</t>
    </r>
    <r>
      <rPr>
        <sz val="11"/>
        <color theme="1"/>
        <rFont val="Arial"/>
        <family val="2"/>
        <scheme val="minor"/>
      </rPr>
      <t xml:space="preserve">, </t>
    </r>
    <r>
      <rPr>
        <b/>
        <sz val="11"/>
        <color theme="1"/>
        <rFont val="Arial"/>
        <family val="2"/>
        <scheme val="minor"/>
      </rPr>
      <t>Vệ tinh (ESRI)</t>
    </r>
  </si>
  <si>
    <t>Hiển thị thumbnail từng bản đồ nền</t>
  </si>
  <si>
    <t>Quan sát từng option</t>
  </si>
  <si>
    <t>Mỗi option có ảnh thumbnail và label tương ứng</t>
  </si>
  <si>
    <t>Chọn bản đồ nền Giao thông</t>
  </si>
  <si>
    <r>
      <t xml:space="preserve">Click </t>
    </r>
    <r>
      <rPr>
        <b/>
        <sz val="11"/>
        <color theme="1"/>
        <rFont val="Arial"/>
        <family val="2"/>
        <scheme val="minor"/>
      </rPr>
      <t>Giao thông</t>
    </r>
  </si>
  <si>
    <t>Nền bản đồ chuyển sang giao thông; option được chọn có trạng thái active</t>
  </si>
  <si>
    <t>Chọn bản đồ nền BDHC 2025</t>
  </si>
  <si>
    <r>
      <t xml:space="preserve">Click </t>
    </r>
    <r>
      <rPr>
        <b/>
        <sz val="11"/>
        <color theme="1"/>
        <rFont val="Arial"/>
        <family val="2"/>
        <scheme val="minor"/>
      </rPr>
      <t>BDHC 2025</t>
    </r>
  </si>
  <si>
    <t>Nền bản đồ chuyển sang BDHC 2025; chỉ option BDHC 2025 active</t>
  </si>
  <si>
    <t>Chọn bản đồ nền Vệ tinh Google</t>
  </si>
  <si>
    <r>
      <t xml:space="preserve">Click </t>
    </r>
    <r>
      <rPr>
        <b/>
        <sz val="11"/>
        <color theme="1"/>
        <rFont val="Arial"/>
        <family val="2"/>
        <scheme val="minor"/>
      </rPr>
      <t>Vệ tinh (Google)</t>
    </r>
  </si>
  <si>
    <t>Nền bản đồ chuyển sang vệ tinh Google; lớp quy hoạch/ranh thửa vẫn hiển thị phía trên</t>
  </si>
  <si>
    <t>Chọn bản đồ nền Vệ tinh ESRI</t>
  </si>
  <si>
    <r>
      <t xml:space="preserve">Click </t>
    </r>
    <r>
      <rPr>
        <b/>
        <sz val="11"/>
        <color theme="1"/>
        <rFont val="Arial"/>
        <family val="2"/>
        <scheme val="minor"/>
      </rPr>
      <t>Vệ tinh (ESRI)</t>
    </r>
  </si>
  <si>
    <t>Nền bản đồ chuyển sang vệ tinh ESRI; lớp dữ liệu hiện tại không bị mất</t>
  </si>
  <si>
    <t>Chỉ cho phép active một bản đồ nền</t>
  </si>
  <si>
    <t>Chọn lần lượt 2 loại bản đồ nền khác nhau</t>
  </si>
  <si>
    <t>Tại một thời điểm chỉ có 1 bản đồ nền được active</t>
  </si>
  <si>
    <t>Không thay đổi vị trí bản đồ khi đổi nền</t>
  </si>
  <si>
    <t>Bản đồ đang zoom/pan tại khu vực Nghĩa Tân</t>
  </si>
  <si>
    <t>Đổi từ Giao thông sang Vệ tinh</t>
  </si>
  <si>
    <t>Tâm bản đồ, mức zoom, marker và lớp overlay giữ nguyên</t>
  </si>
  <si>
    <t>Giữ lớp quy hoạch sau khi đổi nền</t>
  </si>
  <si>
    <t>Đang bật lớp QHSDD 2030 hoặc lớp ranh thửa</t>
  </si>
  <si>
    <t>Đổi bản đồ nền</t>
  </si>
  <si>
    <t>Lớp quy hoạch/ranh thửa màu đỏ vẫn hiển thị đúng trên bản đồ nền mới</t>
  </si>
  <si>
    <t>Đóng popup khi click lại icon layer</t>
  </si>
  <si>
    <t>Click lại icon layer</t>
  </si>
  <si>
    <t>Popup đóng lại</t>
  </si>
  <si>
    <t>Đóng popup khi click ngoài vùng popup</t>
  </si>
  <si>
    <t>Click vào vùng bản đồ bên ngoài popup</t>
  </si>
  <si>
    <t>Popup đóng, bản đồ không bị đổi nền ngoài ý muốn</t>
  </si>
  <si>
    <t>User chọn một bản đồ nền</t>
  </si>
  <si>
    <t>Refresh trang hoặc chuyển module rồi quay lại</t>
  </si>
  <si>
    <t>Bản đồ nền hoạt động khi zoom/pan</t>
  </si>
  <si>
    <t>Đã chọn bất kỳ bản đồ nền</t>
  </si>
  <si>
    <t>Zoom in, zoom out, kéo bản đồ</t>
  </si>
  <si>
    <t>Tile bản đồ tải đúng, không trắng màn hình, không lệch lớp overlay</t>
  </si>
  <si>
    <t>Có Layer icon hiển thị, trạng thái có thể click</t>
  </si>
  <si>
    <t>Bản đồ nền mặc đinh</t>
  </si>
  <si>
    <t>Bản đồ nền trở lại bản đồ nên giao thông là bản đồ nền mặc định</t>
  </si>
  <si>
    <t>Chức năng</t>
  </si>
  <si>
    <t>Bản đồ địa chính</t>
  </si>
  <si>
    <t>Hiển thị lớp bản đồ địa chính tại Hà Nội</t>
  </si>
  <si>
    <t>Mở BĐS 360 tại khu vực Hà Nội có dữ liệu địa chính</t>
  </si>
  <si>
    <t>Quan sát bản đồ</t>
  </si>
  <si>
    <t>Hiển thị các đường ranh thửa màu đỏ trên bản đồ</t>
  </si>
  <si>
    <t>Click vào 1 thửa đất có đường đỏ</t>
  </si>
  <si>
    <t>Đang ở Hà Nội/HCM/Đà Nẵng, có lớp địa chính</t>
  </si>
  <si>
    <t>Click vào vùng nằm trong ranh thửa đỏ</t>
  </si>
  <si>
    <r>
      <t xml:space="preserve">Marker/vị trí chọn được cập nhật; panel </t>
    </r>
    <r>
      <rPr>
        <b/>
        <sz val="11"/>
        <color theme="1"/>
        <rFont val="Arial"/>
        <family val="2"/>
        <scheme val="minor"/>
      </rPr>
      <t>Tra cứu bản đồ</t>
    </r>
    <r>
      <rPr>
        <sz val="11"/>
        <color theme="1"/>
        <rFont val="Arial"/>
        <family val="2"/>
        <scheme val="minor"/>
      </rPr>
      <t xml:space="preserve"> hiển thị thông tin thửa</t>
    </r>
  </si>
  <si>
    <t>Hiển thị diện tích khi click đúng thửa</t>
  </si>
  <si>
    <t>Có thửa địa chính hợp lệ</t>
  </si>
  <si>
    <t>Click vào thửa</t>
  </si>
  <si>
    <r>
      <t xml:space="preserve">Trường </t>
    </r>
    <r>
      <rPr>
        <b/>
        <sz val="11"/>
        <color theme="1"/>
        <rFont val="Arial"/>
        <family val="2"/>
        <scheme val="minor"/>
      </rPr>
      <t>Diện tích</t>
    </r>
    <r>
      <rPr>
        <sz val="11"/>
        <color theme="1"/>
        <rFont val="Arial"/>
        <family val="2"/>
        <scheme val="minor"/>
      </rPr>
      <t xml:space="preserve"> hiển thị giá trị &gt; 0, đúng định dạng </t>
    </r>
    <r>
      <rPr>
        <sz val="10"/>
        <color theme="1"/>
        <rFont val="Arial Unicode MS"/>
      </rPr>
      <t>x,xxx.xx m²</t>
    </r>
    <r>
      <rPr>
        <sz val="11"/>
        <color theme="1"/>
        <rFont val="Arial"/>
        <family val="2"/>
        <scheme val="minor"/>
      </rPr>
      <t xml:space="preserve"> hoặc theo format hệ thống</t>
    </r>
  </si>
  <si>
    <t>Hiển thị số tờ/số thửa khi click đúng thửa</t>
  </si>
  <si>
    <r>
      <t xml:space="preserve">Trường </t>
    </r>
    <r>
      <rPr>
        <b/>
        <sz val="11"/>
        <color theme="1"/>
        <rFont val="Arial"/>
        <family val="2"/>
        <scheme val="minor"/>
      </rPr>
      <t>Số tờ / Số thửa</t>
    </r>
    <r>
      <rPr>
        <sz val="11"/>
        <color theme="1"/>
        <rFont val="Arial"/>
        <family val="2"/>
        <scheme val="minor"/>
      </rPr>
      <t xml:space="preserve"> hiển thị đúng dạng </t>
    </r>
    <r>
      <rPr>
        <sz val="10"/>
        <color theme="1"/>
        <rFont val="Arial Unicode MS"/>
      </rPr>
      <t>[số tờ] / [số thửa]</t>
    </r>
    <r>
      <rPr>
        <sz val="11"/>
        <color theme="1"/>
        <rFont val="Arial"/>
        <family val="2"/>
        <scheme val="minor"/>
      </rPr>
      <t xml:space="preserve">, ví dụ </t>
    </r>
    <r>
      <rPr>
        <sz val="10"/>
        <color theme="1"/>
        <rFont val="Arial Unicode MS"/>
      </rPr>
      <t>52 / 459</t>
    </r>
  </si>
  <si>
    <t>Hiển thị loại đất khi click đúng thửa</t>
  </si>
  <si>
    <t>Có dữ liệu loại đất</t>
  </si>
  <si>
    <r>
      <t xml:space="preserve">Trường </t>
    </r>
    <r>
      <rPr>
        <b/>
        <sz val="11"/>
        <color theme="1"/>
        <rFont val="Arial"/>
        <family val="2"/>
        <scheme val="minor"/>
      </rPr>
      <t>Loại đất</t>
    </r>
    <r>
      <rPr>
        <sz val="11"/>
        <color theme="1"/>
        <rFont val="Arial"/>
        <family val="2"/>
        <scheme val="minor"/>
      </rPr>
      <t xml:space="preserve"> hiển thị mã và tên loại đất, ví dụ </t>
    </r>
    <r>
      <rPr>
        <sz val="10"/>
        <color theme="1"/>
        <rFont val="Arial Unicode MS"/>
      </rPr>
      <t>NTS - Đất nuôi trồng thủy sản</t>
    </r>
  </si>
  <si>
    <t>Click thửa khác thì cập nhật thông tin mới</t>
  </si>
  <si>
    <t>Có ít nhất 2 thửa khác nhau</t>
  </si>
  <si>
    <t>Click thửa A, sau đó click thửa B</t>
  </si>
  <si>
    <r>
      <t xml:space="preserve">Panel </t>
    </r>
    <r>
      <rPr>
        <b/>
        <sz val="11"/>
        <color theme="1"/>
        <rFont val="Arial"/>
        <family val="2"/>
        <scheme val="minor"/>
      </rPr>
      <t>Tra cứu bản đồ</t>
    </r>
    <r>
      <rPr>
        <sz val="11"/>
        <color theme="1"/>
        <rFont val="Arial"/>
        <family val="2"/>
        <scheme val="minor"/>
      </rPr>
      <t xml:space="preserve"> cập nhật theo thửa B, không giữ dữ liệu cũ của thửa A</t>
    </r>
  </si>
  <si>
    <t>Click lại cùng 1 thửa</t>
  </si>
  <si>
    <t>Đã click vào thửa A</t>
  </si>
  <si>
    <t>Click lại vào thửa A</t>
  </si>
  <si>
    <t>Thông tin không bị reset, không duplicate request bất thường, dữ liệu vẫn đúng</t>
  </si>
  <si>
    <t>Click sát biên nhưng vẫn nằm trong thửa</t>
  </si>
  <si>
    <t>Có thửa địa chính rõ ranh giới</t>
  </si>
  <si>
    <t>Click vào vị trí sát đường ranh đỏ nhưng bên trong polygon</t>
  </si>
  <si>
    <t>Hệ thống nhận đúng thửa và hiển thị thông tin tờ/thửa/diện tích</t>
  </si>
  <si>
    <t>Click ở khu vực nhiều thửa nhỏ</t>
  </si>
  <si>
    <t>Bản đồ đang zoom đủ gần</t>
  </si>
  <si>
    <t>Click vào 1 thửa nhỏ</t>
  </si>
  <si>
    <t>Hệ thống xác định đúng thửa được click, không lấy nhầm thửa liền kề</t>
  </si>
  <si>
    <t>Đổi zoom rồi click thửa</t>
  </si>
  <si>
    <t>Đang ở khu vực có địa chính</t>
  </si>
  <si>
    <t>Zoom in/zoom out, sau đó click thửa</t>
  </si>
  <si>
    <t>Dữ liệu địa chính vẫn tương tác được; panel hiển thị đúng thông tin thửa</t>
  </si>
  <si>
    <t>Lớp địa chính vẫn hiển thị khi đổi bản đồ nền</t>
  </si>
  <si>
    <t>Đổi nền Giao thông/BĐHC/Vệ tinh, sau đó click thửa</t>
  </si>
  <si>
    <t>Đường đỏ vẫn hiển thị phía trên bản đồ nền; click vẫn trả đúng thông tin</t>
  </si>
  <si>
    <t>Click thửa ở 3 địa phương hỗ trợ</t>
  </si>
  <si>
    <t>Có test data tại Hà Nội, TP.HCM, Đà Nẵng</t>
  </si>
  <si>
    <t>Lần lượt mở từng địa phương và click thửa</t>
  </si>
  <si>
    <t>Cả 3 địa phương đều hiển thị lớp địa chính và trả thông tin tờ/thửa/diện tích</t>
  </si>
  <si>
    <t>Click vào vùng không có polygon địa chính</t>
  </si>
  <si>
    <t>Bản đồ đang ở khu vực có dữ liệu địa chính nhưng vị trí click không nằm trong thửa</t>
  </si>
  <si>
    <t>Click vào vùng trống/đường/khu không có ranh thửa</t>
  </si>
  <si>
    <t>Diện tích khi click vùng trống</t>
  </si>
  <si>
    <t>Click vào nơi không có thửa</t>
  </si>
  <si>
    <r>
      <t xml:space="preserve">Quan sát trường </t>
    </r>
    <r>
      <rPr>
        <b/>
        <sz val="11"/>
        <color theme="1"/>
        <rFont val="Arial"/>
        <family val="2"/>
        <scheme val="minor"/>
      </rPr>
      <t>Diện tích</t>
    </r>
  </si>
  <si>
    <t>Loại đất khi click vùng trống</t>
  </si>
  <si>
    <r>
      <t xml:space="preserve">Quan sát trường </t>
    </r>
    <r>
      <rPr>
        <b/>
        <sz val="11"/>
        <color theme="1"/>
        <rFont val="Arial"/>
        <family val="2"/>
        <scheme val="minor"/>
      </rPr>
      <t>Loại đất</t>
    </r>
  </si>
  <si>
    <r>
      <t xml:space="preserve">Hiển thị </t>
    </r>
    <r>
      <rPr>
        <sz val="10"/>
        <color theme="1"/>
        <rFont val="Arial Unicode MS"/>
      </rPr>
      <t>...</t>
    </r>
  </si>
  <si>
    <t>Số tờ/số thửa khi click vùng trống</t>
  </si>
  <si>
    <r>
      <t xml:space="preserve">Quan sát trường </t>
    </r>
    <r>
      <rPr>
        <b/>
        <sz val="11"/>
        <color theme="1"/>
        <rFont val="Arial"/>
        <family val="2"/>
        <scheme val="minor"/>
      </rPr>
      <t>Số tờ / Số thửa</t>
    </r>
  </si>
  <si>
    <r>
      <t xml:space="preserve">Hiển thị </t>
    </r>
    <r>
      <rPr>
        <sz val="10"/>
        <color theme="1"/>
        <rFont val="Arial Unicode MS"/>
      </rPr>
      <t>... / ...</t>
    </r>
  </si>
  <si>
    <t>Không giữ dữ liệu thửa cũ khi click vùng trống</t>
  </si>
  <si>
    <t>Đã click thửa có dữ liệu trước đó</t>
  </si>
  <si>
    <t>Click sang vùng không có địa chính</t>
  </si>
  <si>
    <r>
      <t xml:space="preserve">Dữ liệu cũ bị clear; panel chuyển sang </t>
    </r>
    <r>
      <rPr>
        <sz val="10"/>
        <color theme="1"/>
        <rFont val="Arial Unicode MS"/>
      </rPr>
      <t>0 m²</t>
    </r>
    <r>
      <rPr>
        <sz val="11"/>
        <color theme="1"/>
        <rFont val="Arial"/>
        <family val="2"/>
        <scheme val="minor"/>
      </rPr>
      <t xml:space="preserve">, </t>
    </r>
    <r>
      <rPr>
        <sz val="10"/>
        <color theme="1"/>
        <rFont val="Arial Unicode MS"/>
      </rPr>
      <t>...</t>
    </r>
    <r>
      <rPr>
        <sz val="11"/>
        <color theme="1"/>
        <rFont val="Arial"/>
        <family val="2"/>
        <scheme val="minor"/>
      </rPr>
      <t xml:space="preserve">, </t>
    </r>
    <r>
      <rPr>
        <sz val="10"/>
        <color theme="1"/>
        <rFont val="Arial Unicode MS"/>
      </rPr>
      <t>... / ...</t>
    </r>
  </si>
  <si>
    <t>Click vào đường giao thông không thuộc thửa</t>
  </si>
  <si>
    <t>Đang ở khu vực có đường đỏ xung quanh</t>
  </si>
  <si>
    <t>Click vào phần đường/phần ngoài polygon</t>
  </si>
  <si>
    <t>Không hiển thị nhầm thông tin thửa gần nhất</t>
  </si>
  <si>
    <t>Click vùng trống nhiều lần liên tục</t>
  </si>
  <si>
    <t>Đang ở khu vực không có polygon</t>
  </si>
  <si>
    <t>Click nhiều vị trí trống khác nhau</t>
  </si>
  <si>
    <t>Panel vẫn hiển thị thông tin trống, không phát sinh dữ liệu sai</t>
  </si>
  <si>
    <t>Click vùng trống sau khi đổi zoom</t>
  </si>
  <si>
    <t>Zoom in/out tại khu vực trống</t>
  </si>
  <si>
    <t>Click vào vùng trống</t>
  </si>
  <si>
    <r>
      <t xml:space="preserve">Panel vẫn hiển thị </t>
    </r>
    <r>
      <rPr>
        <sz val="10"/>
        <color theme="1"/>
        <rFont val="Arial Unicode MS"/>
      </rPr>
      <t>0 m²</t>
    </r>
    <r>
      <rPr>
        <sz val="11"/>
        <color theme="1"/>
        <rFont val="Arial"/>
        <family val="2"/>
        <scheme val="minor"/>
      </rPr>
      <t xml:space="preserve">, </t>
    </r>
    <r>
      <rPr>
        <sz val="10"/>
        <color theme="1"/>
        <rFont val="Arial Unicode MS"/>
      </rPr>
      <t>...</t>
    </r>
    <r>
      <rPr>
        <sz val="11"/>
        <color theme="1"/>
        <rFont val="Arial"/>
        <family val="2"/>
        <scheme val="minor"/>
      </rPr>
      <t xml:space="preserve">, </t>
    </r>
    <r>
      <rPr>
        <sz val="10"/>
        <color theme="1"/>
        <rFont val="Arial Unicode MS"/>
      </rPr>
      <t>... / ...</t>
    </r>
  </si>
  <si>
    <t>Click vùng trống khi API trả null</t>
  </si>
  <si>
    <r>
      <t xml:space="preserve">Giả lập API trả </t>
    </r>
    <r>
      <rPr>
        <sz val="10"/>
        <color theme="1"/>
        <rFont val="Arial Unicode MS"/>
      </rPr>
      <t>null</t>
    </r>
    <r>
      <rPr>
        <sz val="11"/>
        <color theme="1"/>
        <rFont val="Arial"/>
        <family val="2"/>
        <scheme val="minor"/>
      </rPr>
      <t>/empty object</t>
    </r>
  </si>
  <si>
    <t>Click vào vị trí không có dữ liệu</t>
  </si>
  <si>
    <t>UI hiển thị thông tin trống đúng format, không lỗi màn hình</t>
  </si>
  <si>
    <r>
      <t xml:space="preserve">Hiển thị </t>
    </r>
    <r>
      <rPr>
        <sz val="10"/>
        <color theme="1"/>
        <rFont val="Arial Unicode MS"/>
      </rPr>
      <t>0 m²</t>
    </r>
  </si>
  <si>
    <r>
      <t xml:space="preserve">Panel </t>
    </r>
    <r>
      <rPr>
        <b/>
        <sz val="11"/>
        <color theme="1"/>
        <rFont val="Arial"/>
        <family val="2"/>
        <scheme val="minor"/>
      </rPr>
      <t>Tra cứu bản đồ</t>
    </r>
    <r>
      <rPr>
        <sz val="11"/>
        <color theme="1"/>
        <rFont val="Arial"/>
        <family val="2"/>
        <scheme val="minor"/>
      </rPr>
      <t xml:space="preserve"> hiển thị trạng thái trống</t>
    </r>
  </si>
  <si>
    <t>Xem vùng không có thông tin</t>
  </si>
  <si>
    <t>Xem vùng có thông tin</t>
  </si>
  <si>
    <t>Tính độ dài của các đường thẳng địa chính</t>
  </si>
  <si>
    <t>API tra cứu địa chính timeout</t>
  </si>
  <si>
    <t>Giả lập API timeout</t>
  </si>
  <si>
    <t>API trả lỗi 500</t>
  </si>
  <si>
    <t>Giả lập service địa chính lỗi</t>
  </si>
  <si>
    <t>API trả dữ liệu thiếu diện tích</t>
  </si>
  <si>
    <t>API trả số tờ/số thửa nhưng thiếu diện tích</t>
  </si>
  <si>
    <t>Click thửa</t>
  </si>
  <si>
    <t>API trả thiếu số tờ/số thửa</t>
  </si>
  <si>
    <t>API trả diện tích nhưng thiếu tờ/thửa</t>
  </si>
  <si>
    <r>
      <t xml:space="preserve">Không hiển thị sai; trường thiếu hiển thị </t>
    </r>
    <r>
      <rPr>
        <sz val="10"/>
        <color theme="1"/>
        <rFont val="Arial Unicode MS"/>
      </rPr>
      <t>... / ...</t>
    </r>
  </si>
  <si>
    <t>API trả geometry nhưng không có properties</t>
  </si>
  <si>
    <t>Có polygon nhưng thiếu attribute</t>
  </si>
  <si>
    <t>Không crash; panel hiển thị thông tin trống/thiếu theo format</t>
  </si>
  <si>
    <t>Click liên tục nhiều thửa</t>
  </si>
  <si>
    <t>Có nhiều thửa cạnh nhau</t>
  </si>
  <si>
    <t>Click nhanh A → B → C</t>
  </si>
  <si>
    <t>Kết quả cuối cùng hiển thị thông tin của thửa C, không bị race condition</t>
  </si>
  <si>
    <t>Click trong lúc bản đồ/layer đang loading</t>
  </si>
  <si>
    <t>Layer địa chính chưa load xong</t>
  </si>
  <si>
    <t>Click vào bản đồ</t>
  </si>
  <si>
    <t>Không crash; sau khi load xong không tự hiển thị sai dữ liệu</t>
  </si>
  <si>
    <t>Không crash; hiển thị thông báo lỗi phù hợp và thông tin trống</t>
  </si>
  <si>
    <t xml:space="preserve">UI không treo; hiển thị trạng thái lỗi và giữ trạng thái cũ </t>
  </si>
  <si>
    <r>
      <t xml:space="preserve">Diện tích hiển thị </t>
    </r>
    <r>
      <rPr>
        <sz val="10"/>
        <color theme="1"/>
        <rFont val="Arial Unicode MS"/>
      </rPr>
      <t>0 m²</t>
    </r>
    <r>
      <rPr>
        <sz val="11"/>
        <color theme="1"/>
        <rFont val="Arial"/>
        <family val="2"/>
        <scheme val="minor"/>
      </rPr>
      <t xml:space="preserve"> theo rule; các trường còn lại vẫn hiển thị nếu có</t>
    </r>
  </si>
  <si>
    <t>Bản đồ quy hoạch</t>
  </si>
  <si>
    <t>Hiển thị các nút lớp bản đồ quy hoạch</t>
  </si>
  <si>
    <t>User mở màn BĐS 360, bản đồ load thành công</t>
  </si>
  <si>
    <t>Quan sát khu vực phía trên bản đồ</t>
  </si>
  <si>
    <r>
      <t xml:space="preserve">Hiển thị các lớp: </t>
    </r>
    <r>
      <rPr>
        <b/>
        <sz val="11"/>
        <color theme="1"/>
        <rFont val="Arial"/>
        <family val="2"/>
        <scheme val="minor"/>
      </rPr>
      <t>QHSDD 2030 (R)</t>
    </r>
    <r>
      <rPr>
        <sz val="11"/>
        <color theme="1"/>
        <rFont val="Arial"/>
        <family val="2"/>
        <scheme val="minor"/>
      </rPr>
      <t xml:space="preserve">, </t>
    </r>
    <r>
      <rPr>
        <b/>
        <sz val="11"/>
        <color theme="1"/>
        <rFont val="Arial"/>
        <family val="2"/>
        <scheme val="minor"/>
      </rPr>
      <t>QH Chung</t>
    </r>
    <r>
      <rPr>
        <sz val="11"/>
        <color theme="1"/>
        <rFont val="Arial"/>
        <family val="2"/>
        <scheme val="minor"/>
      </rPr>
      <t xml:space="preserve">, </t>
    </r>
    <r>
      <rPr>
        <b/>
        <sz val="11"/>
        <color theme="1"/>
        <rFont val="Arial"/>
        <family val="2"/>
        <scheme val="minor"/>
      </rPr>
      <t>QH Dự án</t>
    </r>
  </si>
  <si>
    <t>Lớp mặc định khi vào màn hình</t>
  </si>
  <si>
    <t>User mở màn BĐS 360 lần đầu</t>
  </si>
  <si>
    <t>Quan sát lớp đang active</t>
  </si>
  <si>
    <t>Chọn lớp QHSDD 2030 (R)</t>
  </si>
  <si>
    <t>Đang ở bản đồ có dữ liệu quy hoạch</t>
  </si>
  <si>
    <r>
      <t xml:space="preserve">Click </t>
    </r>
    <r>
      <rPr>
        <b/>
        <sz val="11"/>
        <color theme="1"/>
        <rFont val="Arial"/>
        <family val="2"/>
        <scheme val="minor"/>
      </rPr>
      <t>QHSDD 2030 (R)</t>
    </r>
  </si>
  <si>
    <t>Lớp QHSDD được active; bản đồ hiển thị vùng quy hoạch sử dụng đất theo màu/mã loại đất</t>
  </si>
  <si>
    <t>Chọn lớp QH Chung</t>
  </si>
  <si>
    <t>Đang ở bản đồ có dữ liệu quy hoạch chung</t>
  </si>
  <si>
    <r>
      <t xml:space="preserve">Click </t>
    </r>
    <r>
      <rPr>
        <b/>
        <sz val="11"/>
        <color theme="1"/>
        <rFont val="Arial"/>
        <family val="2"/>
        <scheme val="minor"/>
      </rPr>
      <t>QH Chung</t>
    </r>
  </si>
  <si>
    <r>
      <t xml:space="preserve">Lớp QH Chung được active; thông tin tra cứu có thêm nhóm </t>
    </r>
    <r>
      <rPr>
        <b/>
        <sz val="11"/>
        <color theme="1"/>
        <rFont val="Arial"/>
        <family val="2"/>
        <scheme val="minor"/>
      </rPr>
      <t>QH Chung</t>
    </r>
    <r>
      <rPr>
        <sz val="11"/>
        <color theme="1"/>
        <rFont val="Arial"/>
        <family val="2"/>
        <scheme val="minor"/>
      </rPr>
      <t xml:space="preserve"> nếu vị trí có dữ liệu</t>
    </r>
  </si>
  <si>
    <t>Mở dropdown QH Dự án</t>
  </si>
  <si>
    <r>
      <t xml:space="preserve">Có nút </t>
    </r>
    <r>
      <rPr>
        <b/>
        <sz val="11"/>
        <color theme="1"/>
        <rFont val="Arial"/>
        <family val="2"/>
        <scheme val="minor"/>
      </rPr>
      <t>QH Dự án</t>
    </r>
    <r>
      <rPr>
        <sz val="11"/>
        <color theme="1"/>
        <rFont val="Arial"/>
        <family val="2"/>
        <scheme val="minor"/>
      </rPr>
      <t xml:space="preserve"> dạng dropdown</t>
    </r>
  </si>
  <si>
    <r>
      <t xml:space="preserve">Click mũi tên/dropdown </t>
    </r>
    <r>
      <rPr>
        <b/>
        <sz val="11"/>
        <color theme="1"/>
        <rFont val="Arial"/>
        <family val="2"/>
        <scheme val="minor"/>
      </rPr>
      <t>QH Dự án</t>
    </r>
  </si>
  <si>
    <r>
      <t xml:space="preserve">Hiển thị danh sách dự án, ví dụ </t>
    </r>
    <r>
      <rPr>
        <b/>
        <sz val="11"/>
        <color theme="1"/>
        <rFont val="Arial"/>
        <family val="2"/>
        <scheme val="minor"/>
      </rPr>
      <t>Vinhomes Ocean Park 1 - Gia Lâm</t>
    </r>
  </si>
  <si>
    <t>Chọn một dự án trong dropdown</t>
  </si>
  <si>
    <t>Dropdown QH Dự án đang mở</t>
  </si>
  <si>
    <t>Click một dự án trong danh sách</t>
  </si>
  <si>
    <t>Chỉ một lớp được active tại một thời điểm</t>
  </si>
  <si>
    <t>Đang active QHSDD</t>
  </si>
  <si>
    <t>Click QH Chung, sau đó QH Dự án</t>
  </si>
  <si>
    <t>Chỉ lớp cuối cùng được chọn active; trạng thái active của lớp trước bị bỏ</t>
  </si>
  <si>
    <t>Chuyển lớp không làm thay đổi vị trí bản đồ</t>
  </si>
  <si>
    <t>Bản đồ đang ở một vị trí/zoom cụ thể</t>
  </si>
  <si>
    <t>Chuyển từ QHSDD sang QH Chung</t>
  </si>
  <si>
    <t>Tâm bản đồ, mức zoom, marker đang chọn không bị thay đổi ngoài ý muốn</t>
  </si>
  <si>
    <t>Chuyển lớp vẫn giữ bản đồ nền hiện tại</t>
  </si>
  <si>
    <t>Đang dùng nền Giao thông/Vệ tinh</t>
  </si>
  <si>
    <t>Chọn các lớp quy hoạch khác nhau</t>
  </si>
  <si>
    <t>Bản đồ nền không bị reset; chỉ lớp quy hoạch phía trên thay đổi</t>
  </si>
  <si>
    <t>Layer quy hoạch hiển thị trên bản đồ nền</t>
  </si>
  <si>
    <t>Bản đồ nền đã load</t>
  </si>
  <si>
    <t>Bật/chọn lớp QHSDD/QH Chung/QH Dự án</t>
  </si>
  <si>
    <t>Lớp quy hoạch hiển thị phía trên bản đồ nền, không bị che khuất</t>
  </si>
  <si>
    <t>Click vào vùng quy hoạch sau khi chọn lớp</t>
  </si>
  <si>
    <t>Đang active lớp có dữ liệu</t>
  </si>
  <si>
    <t>Click vào vùng màu trên bản đồ</t>
  </si>
  <si>
    <r>
      <t xml:space="preserve">Khối </t>
    </r>
    <r>
      <rPr>
        <b/>
        <sz val="11"/>
        <color theme="1"/>
        <rFont val="Arial"/>
        <family val="2"/>
        <scheme val="minor"/>
      </rPr>
      <t>Tra cứu bản đồ</t>
    </r>
    <r>
      <rPr>
        <sz val="11"/>
        <color theme="1"/>
        <rFont val="Arial"/>
        <family val="2"/>
        <scheme val="minor"/>
      </rPr>
      <t xml:space="preserve"> cập nhật thông tin tương ứng với lớp/vị trí được chọn</t>
    </r>
  </si>
  <si>
    <t>Click vùng QHSDD có dữ liệu</t>
  </si>
  <si>
    <r>
      <t xml:space="preserve">Active </t>
    </r>
    <r>
      <rPr>
        <b/>
        <sz val="11"/>
        <color theme="1"/>
        <rFont val="Arial"/>
        <family val="2"/>
        <scheme val="minor"/>
      </rPr>
      <t>QHSDD 2030 (R)</t>
    </r>
  </si>
  <si>
    <t>Click vào vùng quy hoạch sử dụng đất</t>
  </si>
  <si>
    <r>
      <t xml:space="preserve">Hiển thị </t>
    </r>
    <r>
      <rPr>
        <b/>
        <sz val="11"/>
        <color theme="1"/>
        <rFont val="Arial"/>
        <family val="2"/>
        <scheme val="minor"/>
      </rPr>
      <t>Diện tích</t>
    </r>
    <r>
      <rPr>
        <sz val="11"/>
        <color theme="1"/>
        <rFont val="Arial"/>
        <family val="2"/>
        <scheme val="minor"/>
      </rPr>
      <t xml:space="preserve">, </t>
    </r>
    <r>
      <rPr>
        <b/>
        <sz val="11"/>
        <color theme="1"/>
        <rFont val="Arial"/>
        <family val="2"/>
        <scheme val="minor"/>
      </rPr>
      <t>Loại đất</t>
    </r>
    <r>
      <rPr>
        <sz val="11"/>
        <color theme="1"/>
        <rFont val="Arial"/>
        <family val="2"/>
        <scheme val="minor"/>
      </rPr>
      <t xml:space="preserve">, </t>
    </r>
    <r>
      <rPr>
        <b/>
        <sz val="11"/>
        <color theme="1"/>
        <rFont val="Arial"/>
        <family val="2"/>
        <scheme val="minor"/>
      </rPr>
      <t>Số tờ/Số thửa</t>
    </r>
    <r>
      <rPr>
        <sz val="11"/>
        <color theme="1"/>
        <rFont val="Arial"/>
        <family val="2"/>
        <scheme val="minor"/>
      </rPr>
      <t xml:space="preserve"> nếu có dữ liệu hiện trạng</t>
    </r>
  </si>
  <si>
    <t>Click vùng QH Chung có dữ liệu</t>
  </si>
  <si>
    <r>
      <t xml:space="preserve">Active </t>
    </r>
    <r>
      <rPr>
        <b/>
        <sz val="11"/>
        <color theme="1"/>
        <rFont val="Arial"/>
        <family val="2"/>
        <scheme val="minor"/>
      </rPr>
      <t>QH Chung</t>
    </r>
  </si>
  <si>
    <t>Click vào vùng có quy hoạch chung</t>
  </si>
  <si>
    <r>
      <t xml:space="preserve">Hiển thị nhóm </t>
    </r>
    <r>
      <rPr>
        <b/>
        <sz val="11"/>
        <color theme="1"/>
        <rFont val="Arial"/>
        <family val="2"/>
        <scheme val="minor"/>
      </rPr>
      <t>QH Chung</t>
    </r>
    <r>
      <rPr>
        <sz val="11"/>
        <color theme="1"/>
        <rFont val="Arial"/>
        <family val="2"/>
        <scheme val="minor"/>
      </rPr>
      <t xml:space="preserve"> gồm </t>
    </r>
    <r>
      <rPr>
        <b/>
        <sz val="11"/>
        <color theme="1"/>
        <rFont val="Arial"/>
        <family val="2"/>
        <scheme val="minor"/>
      </rPr>
      <t>Phân khu</t>
    </r>
    <r>
      <rPr>
        <sz val="11"/>
        <color theme="1"/>
        <rFont val="Arial"/>
        <family val="2"/>
        <scheme val="minor"/>
      </rPr>
      <t xml:space="preserve">, </t>
    </r>
    <r>
      <rPr>
        <b/>
        <sz val="11"/>
        <color theme="1"/>
        <rFont val="Arial"/>
        <family val="2"/>
        <scheme val="minor"/>
      </rPr>
      <t>Loại đất</t>
    </r>
    <r>
      <rPr>
        <sz val="11"/>
        <color theme="1"/>
        <rFont val="Arial"/>
        <family val="2"/>
        <scheme val="minor"/>
      </rPr>
      <t xml:space="preserve">, </t>
    </r>
    <r>
      <rPr>
        <b/>
        <sz val="11"/>
        <color theme="1"/>
        <rFont val="Arial"/>
        <family val="2"/>
        <scheme val="minor"/>
      </rPr>
      <t>Diện tích</t>
    </r>
  </si>
  <si>
    <t>Click vùng QH Dự án có dữ liệu</t>
  </si>
  <si>
    <r>
      <t xml:space="preserve">Active </t>
    </r>
    <r>
      <rPr>
        <b/>
        <sz val="11"/>
        <color theme="1"/>
        <rFont val="Arial"/>
        <family val="2"/>
        <scheme val="minor"/>
      </rPr>
      <t>QH Dự án</t>
    </r>
  </si>
  <si>
    <t>Click vào vùng dự án</t>
  </si>
  <si>
    <t>Hiển thị thông tin dự án/quy hoạch dự án theo thiết kế; vùng dự án được highlight nếu có rule</t>
  </si>
  <si>
    <t>Dữ liệu tra cứu thay đổi theo lớp đang chọn</t>
  </si>
  <si>
    <t>Cùng một vị trí có nhiều lớp dữ liệu</t>
  </si>
  <si>
    <t>Click vị trí ở QHSDD, sau đó chuyển QH Chung và click lại</t>
  </si>
  <si>
    <t>Panel cập nhật đúng dữ liệu theo lớp hiện tại, không lấy nhầm dữ liệu lớp cũ</t>
  </si>
  <si>
    <t>Chuyển lớp nhiều lần liên tiếp</t>
  </si>
  <si>
    <t>Bản đồ đã load</t>
  </si>
  <si>
    <t>Click nhanh QHSDD → QH Chung → QH Dự án</t>
  </si>
  <si>
    <t>UI không treo; kết quả cuối cùng là lớp được chọn sau cùng</t>
  </si>
  <si>
    <t>Hiển thị ghi chú dữ liệu tham khảo</t>
  </si>
  <si>
    <t>Có thông tin tra cứu bản đồ</t>
  </si>
  <si>
    <t>Click vùng quy hoạch</t>
  </si>
  <si>
    <t>Hiển thị dòng ghi chú “Dữ liệu tham khảo…” như thiết kế</t>
  </si>
  <si>
    <t>Thu gọn/mở rộng thông tin QH Chung</t>
  </si>
  <si>
    <t>Panel có nhóm QH Chung</t>
  </si>
  <si>
    <r>
      <t xml:space="preserve">Click </t>
    </r>
    <r>
      <rPr>
        <b/>
        <sz val="11"/>
        <color theme="1"/>
        <rFont val="Arial"/>
        <family val="2"/>
        <scheme val="minor"/>
      </rPr>
      <t>Thu gọn/Mở rộng</t>
    </r>
  </si>
  <si>
    <t>Nhóm thông tin QH Chung thu gọn/mở rộng đúng, không mất dữ liệu</t>
  </si>
  <si>
    <t>Lớp quy hoạch hoạt động khi pan/zoom</t>
  </si>
  <si>
    <t>Đang bật một lớp quy hoạch</t>
  </si>
  <si>
    <t>Zoom in/out, kéo bản đồ</t>
  </si>
  <si>
    <r>
      <t xml:space="preserve">Lớp mặc định được bật </t>
    </r>
    <r>
      <rPr>
        <b/>
        <sz val="11"/>
        <color theme="1"/>
        <rFont val="Arial"/>
        <family val="2"/>
        <scheme val="minor"/>
      </rPr>
      <t>QHSDD 2030 (R)</t>
    </r>
  </si>
  <si>
    <t>Bản đồ hiển thị/highlight vùng dự án tương ứng; tên dự án được hiển thị đúng, chuyển vị trí bản đồ đến vị trí của dự án</t>
  </si>
  <si>
    <t>Layer quy hoạch không đổi, đất không bị vỡ, mất</t>
  </si>
  <si>
    <t>Mở bản đồ QHSDD</t>
  </si>
  <si>
    <t>Click bản đồ QHC</t>
  </si>
  <si>
    <t>Tắt lớp bản đồ QHSDD và bật bản đồ QHC, Chỉ bật 1 lớp bản đồ</t>
  </si>
  <si>
    <t>Tự tắt lớp bản đồ</t>
  </si>
  <si>
    <t>Hiển thị control độ trong suốt</t>
  </si>
  <si>
    <t>User mở màn bản đồ</t>
  </si>
  <si>
    <t>Quan sát control thanh trượt/độ trong suốt</t>
  </si>
  <si>
    <t>Có control điều chỉnh độ trong suốt lớp quy hoạch</t>
  </si>
  <si>
    <t>Điều chỉnh độ trong suốt tăng</t>
  </si>
  <si>
    <t>Lớp quy hoạch đang hiển thị</t>
  </si>
  <si>
    <t>Kéo thanh opacity tăng</t>
  </si>
  <si>
    <t>Lớp quy hoạch đậm hơn; giá trị opacity cập nhật đúng</t>
  </si>
  <si>
    <t>Điều chỉnh độ trong suốt giảm</t>
  </si>
  <si>
    <t>Kéo thanh opacity giảm</t>
  </si>
  <si>
    <t>Lớp quy hoạch nhạt hơn; vẫn nhìn được bản đồ nền</t>
  </si>
  <si>
    <t>Opacity = 0%</t>
  </si>
  <si>
    <t>Có lớp quy hoạch active</t>
  </si>
  <si>
    <t>Kéo về 0%</t>
  </si>
  <si>
    <t>Opacity = 100%</t>
  </si>
  <si>
    <t>Kéo lên 100%</t>
  </si>
  <si>
    <t>Lớp quy hoạch hiển thị rõ nhất; không làm mất control bản đồ</t>
  </si>
  <si>
    <t>Giữ opacity khi đổi lớp</t>
  </si>
  <si>
    <t>Đã đặt opacity, ví dụ 50%</t>
  </si>
  <si>
    <t>Giữ opacity khi pan/zoom</t>
  </si>
  <si>
    <t>Đã chỉnh opacity</t>
  </si>
  <si>
    <t>Pan/zoom bản đồ</t>
  </si>
  <si>
    <t>Layer sau khi load lại vẫn giữ đúng độ trong suốt</t>
  </si>
  <si>
    <t>Không cho nhập/kéo ngoài 0–100%</t>
  </si>
  <si>
    <t>Có control opacity</t>
  </si>
  <si>
    <t>Thử kéo quá min/max hoặc nhập giá trị ngoài range nếu có input</t>
  </si>
  <si>
    <t>Hệ thống giới hạn trong khoảng 0–100%</t>
  </si>
  <si>
    <t>Lớp quy hoạch /hoàn toàn trong suốt; bản đồ nền vẫn hiển thị</t>
  </si>
  <si>
    <t>Opacity được giữ lại không hiển thị sai bất thường</t>
  </si>
  <si>
    <t>Công cụ vẽ - UI</t>
  </si>
  <si>
    <t>Kiểm tra hiển thị nhóm công cụ vẽ</t>
  </si>
  <si>
    <t>Đã mở màn hình BĐS360</t>
  </si>
  <si>
    <t>Hiển thị nhóm công cụ vẽ đúng vị trí, không bị che khuất</t>
  </si>
  <si>
    <t>Kiểm tra hiển thị đủ 3 chế độ vẽ</t>
  </si>
  <si>
    <t>Đang ở màn hình bản đồ</t>
  </si>
  <si>
    <t>Quan sát thanh công cụ vẽ dọc</t>
  </si>
  <si>
    <t>Hiển thị đủ icon vẽ đường, vẽ tự do và vẽ đa giác</t>
  </si>
  <si>
    <t>Kiểm tra trạng thái active của chế độ vẽ</t>
  </si>
  <si>
    <t>Công cụ vẽ đã hiển thị</t>
  </si>
  <si>
    <t>Click lần lượt từng icon vẽ</t>
  </si>
  <si>
    <t>Chỉ icon vừa chọn ở trạng thái active</t>
  </si>
  <si>
    <t>Hiển thị toolbar ngang khi bắt đầu vẽ</t>
  </si>
  <si>
    <t>Đã chọn một chế độ vẽ</t>
  </si>
  <si>
    <t>Thực hiện điểm hoặc nét vẽ đầu tiên</t>
  </si>
  <si>
    <t>Toolbar ngang xuất hiện phía dưới bản đồ và có đầy đủ control</t>
  </si>
  <si>
    <t>Không tạo nhiều toolbar trùng nhau</t>
  </si>
  <si>
    <t>Click liên tục nhiều lần vào icon vẽ</t>
  </si>
  <si>
    <t>Chỉ có một toolbar vẽ được hiển thị</t>
  </si>
  <si>
    <t>Click control bản đồ không tạo điểm vẽ</t>
  </si>
  <si>
    <t>Đang ở drawing mode</t>
  </si>
  <si>
    <t>Click zoom, định vị hoặc lớp bản đồ</t>
  </si>
  <si>
    <t>Control hoạt động và không tạo thêm điểm hoặc nét vẽ</t>
  </si>
  <si>
    <t>Chuyển chế độ vẽ</t>
  </si>
  <si>
    <t>Chọn chế độ vẽ đường</t>
  </si>
  <si>
    <t>Chưa có dữ liệu vẽ chưa lưu</t>
  </si>
  <si>
    <t>Click icon vẽ đường</t>
  </si>
  <si>
    <t>Icon vẽ đường active và sẵn sàng nhận điểm</t>
  </si>
  <si>
    <t>Chọn chế độ vẽ tự do</t>
  </si>
  <si>
    <t>Click icon ngòi bút</t>
  </si>
  <si>
    <t>Icon vẽ tự do active và sẵn sàng nhận thao tác kéo chuột</t>
  </si>
  <si>
    <t>Chọn chế độ vẽ đa giác</t>
  </si>
  <si>
    <t>Click icon đa giác</t>
  </si>
  <si>
    <t>Icon đa giác active và sẵn sàng nhận các đỉnh polygon</t>
  </si>
  <si>
    <t>Chuyển chế độ khi chưa có dữ liệu</t>
  </si>
  <si>
    <t>Đã chọn chế độ A nhưng chưa vẽ</t>
  </si>
  <si>
    <t>Chọn chế độ B</t>
  </si>
  <si>
    <t>Chuyển ngay sang B, không cảnh báo và không giữ dữ liệu tạm</t>
  </si>
  <si>
    <t>Chuyển chế độ khi có dữ liệu chưa lưu</t>
  </si>
  <si>
    <t>Đã tạo ít nhất một điểm hoặc nét</t>
  </si>
  <si>
    <t>Chọn chế độ vẽ khác</t>
  </si>
  <si>
    <t>Click nhanh nhiều chế độ liên tiếp</t>
  </si>
  <si>
    <t>Chưa có dữ liệu vẽ</t>
  </si>
  <si>
    <t>Click nhanh đường, bút, đa giác</t>
  </si>
  <si>
    <t>Chỉ chế độ click cuối cùng active, không tạo nhiều state</t>
  </si>
  <si>
    <t>Vẽ đường</t>
  </si>
  <si>
    <t>Tạo điểm đầu tiên</t>
  </si>
  <si>
    <t>Đã chọn chế độ vẽ đường</t>
  </si>
  <si>
    <t>Click vị trí A trên bản đồ</t>
  </si>
  <si>
    <t>Hiển thị điểm đầu tại đúng vị trí click</t>
  </si>
  <si>
    <t>Tạo đoạn thẳng từ hai điểm</t>
  </si>
  <si>
    <t>Đã có điểm A</t>
  </si>
  <si>
    <t>Click vị trí B</t>
  </si>
  <si>
    <t>Hai điểm được nối bằng đoạn thẳng đúng vị trí</t>
  </si>
  <si>
    <t>Vẽ đường gồm nhiều đoạn</t>
  </si>
  <si>
    <t>Đã tạo hai điểm</t>
  </si>
  <si>
    <t>Click thêm các điểm C, D</t>
  </si>
  <si>
    <t>Đổi màu đường đang vẽ</t>
  </si>
  <si>
    <t>Đã tạo ít nhất một đoạn</t>
  </si>
  <si>
    <t>Mở bảng màu và chọn màu khác</t>
  </si>
  <si>
    <t>Đường vẽ cập nhật đúng màu</t>
  </si>
  <si>
    <t>Undo điểm cuối</t>
  </si>
  <si>
    <t>Đã tạo ít nhất hai điểm</t>
  </si>
  <si>
    <t>Click Undo</t>
  </si>
  <si>
    <t>Điểm và đoạn cuối bị loại bỏ, các điểm trước giữ nguyên</t>
  </si>
  <si>
    <t>Redo điểm vừa Undo</t>
  </si>
  <si>
    <t>Vừa Undo một điểm</t>
  </si>
  <si>
    <t>Click Redo</t>
  </si>
  <si>
    <t>Điểm và đoạn vừa xóa được khôi phục đúng vị trí</t>
  </si>
  <si>
    <t>Lưu khi chỉ có một điểm</t>
  </si>
  <si>
    <t>Mới tạo một điểm</t>
  </si>
  <si>
    <t>Click Lưu bản vẽ</t>
  </si>
  <si>
    <t>Không lưu và hiển thị cảnh báo chưa đủ điểm</t>
  </si>
  <si>
    <t>Lưu đường hợp lệ</t>
  </si>
  <si>
    <t>Đường đáp ứng điều kiện tối thiểu</t>
  </si>
  <si>
    <t>Lưu thành công, đóng drawing mode và giữ đường trên bản đồ</t>
  </si>
  <si>
    <t>Vẽ tự do</t>
  </si>
  <si>
    <t>Bắt đầu nét vẽ tự do</t>
  </si>
  <si>
    <t>Đã chọn chế độ vẽ tự do</t>
  </si>
  <si>
    <t>Giữ chuột và kéo trên bản đồ</t>
  </si>
  <si>
    <t>Tạo nét liên tục theo đường di chuyển</t>
  </si>
  <si>
    <t>Kết thúc nét khi thả chuột</t>
  </si>
  <si>
    <t>Đang giữ và kéo chuột</t>
  </si>
  <si>
    <t>Thả chuột</t>
  </si>
  <si>
    <t>Nét dừng đúng tại vị trí thả chuột</t>
  </si>
  <si>
    <t>Vẽ nhiều nét rời nhau</t>
  </si>
  <si>
    <t>Đã hoàn thành một nét</t>
  </si>
  <si>
    <t>Vẽ thêm nét tại vị trí khác</t>
  </si>
  <si>
    <t>Hiển thị các nét theo đúng rule nghiệp vụ</t>
  </si>
  <si>
    <t>Click mà không kéo chuột</t>
  </si>
  <si>
    <t>Đã chọn vẽ tự do</t>
  </si>
  <si>
    <t>Click nhanh rồi thả</t>
  </si>
  <si>
    <t>Không tạo nét lỗi; tạo chấm hoặc bỏ qua theo thiết kế</t>
  </si>
  <si>
    <t>Đổi màu nét vẽ</t>
  </si>
  <si>
    <t>Đã có nét vẽ</t>
  </si>
  <si>
    <t>Nét hiện tại hoặc nét tiếp theo sử dụng đúng màu</t>
  </si>
  <si>
    <t>Undo và Redo nét vẽ</t>
  </si>
  <si>
    <t>Đã tạo ít nhất hai thao tác</t>
  </si>
  <si>
    <t>Click Undo, sau đó Redo</t>
  </si>
  <si>
    <t>Undo xóa đúng thao tác cuối và Redo khôi phục chính xác</t>
  </si>
  <si>
    <t>Kéo chuột ra ngoài vùng bản đồ</t>
  </si>
  <si>
    <t>Đang vẽ tự do</t>
  </si>
  <si>
    <t>Kéo chuột ra ngoài viewport và thả</t>
  </si>
  <si>
    <t>Không lỗi; nét dừng hoặc bị cắt tại biên</t>
  </si>
  <si>
    <t>Lưu nét vẽ hợp lệ</t>
  </si>
  <si>
    <t>Đã hoàn thành nét hợp lệ</t>
  </si>
  <si>
    <t>Lưu đúng hình dạng, tọa độ và màu sắc</t>
  </si>
  <si>
    <t>Vẽ đa giác</t>
  </si>
  <si>
    <t>Tạo đỉnh đầu tiên</t>
  </si>
  <si>
    <t>Đã chọn chế độ đa giác</t>
  </si>
  <si>
    <t>Click vị trí A</t>
  </si>
  <si>
    <t>Hiển thị đỉnh đầu đúng vị trí</t>
  </si>
  <si>
    <t>Tạo đỉnh thứ hai</t>
  </si>
  <si>
    <t>Đã có đỉnh A</t>
  </si>
  <si>
    <t>Hai đỉnh được nối bằng đoạn thẳng</t>
  </si>
  <si>
    <t>Tạo polygon tối thiểu 3 đỉnh</t>
  </si>
  <si>
    <t>Đã có hai đỉnh</t>
  </si>
  <si>
    <t>Click đỉnh thứ ba và hoàn tất</t>
  </si>
  <si>
    <t>Tạo đa giác kín từ ba đỉnh và hiển thị vùng tô</t>
  </si>
  <si>
    <t>Tạo polygon nhiều đỉnh</t>
  </si>
  <si>
    <t>Đang ở chế độ đa giác</t>
  </si>
  <si>
    <t>Click từ 4 đến 10 vị trí và hoàn tất</t>
  </si>
  <si>
    <t>Các đỉnh nối đúng thứ tự, polygon kín</t>
  </si>
  <si>
    <t>Hiển thị viền và màu nền polygon</t>
  </si>
  <si>
    <t>Đã hoàn tất polygon</t>
  </si>
  <si>
    <t>Quan sát polygon</t>
  </si>
  <si>
    <t>Viền và phần tô trong suốt hiển thị đúng thiết kế</t>
  </si>
  <si>
    <t>Đổi màu polygon</t>
  </si>
  <si>
    <t>Đã tạo polygon</t>
  </si>
  <si>
    <t>Chọn màu khác</t>
  </si>
  <si>
    <t>Màu viền và phần tô được cập nhật đúng</t>
  </si>
  <si>
    <t>Undo đỉnh cuối</t>
  </si>
  <si>
    <t>Đã tạo ít nhất ba đỉnh</t>
  </si>
  <si>
    <t>Đỉnh cuối bị xóa và các đoạn nối cập nhật đúng</t>
  </si>
  <si>
    <t>Redo đỉnh vừa xóa</t>
  </si>
  <si>
    <t>Vừa Undo một đỉnh</t>
  </si>
  <si>
    <t>Đỉnh được khôi phục đúng vị trí</t>
  </si>
  <si>
    <t>Lưu polygon có một đỉnh</t>
  </si>
  <si>
    <t>Mới tạo một đỉnh</t>
  </si>
  <si>
    <t>Không lưu và cảnh báo cần tối thiểu ba đỉnh</t>
  </si>
  <si>
    <t>Lưu polygon có hai đỉnh</t>
  </si>
  <si>
    <t>Đã tạo hai đỉnh</t>
  </si>
  <si>
    <t>Lưu polygon hợp lệ</t>
  </si>
  <si>
    <t>Polygon kín từ ba đỉnh trở lên</t>
  </si>
  <si>
    <t>Validate và lưu bản vẽ thành công</t>
  </si>
  <si>
    <t>Vẽ polygon tự cắt chéo</t>
  </si>
  <si>
    <t>Đang vẽ polygon</t>
  </si>
  <si>
    <t>Tạo các cạnh giao cắt</t>
  </si>
  <si>
    <t>Tạo hai đỉnh trùng tọa độ</t>
  </si>
  <si>
    <t>Click hai lần cùng vị trí</t>
  </si>
  <si>
    <t>Tạo các đỉnh thẳng hàng</t>
  </si>
  <si>
    <t>Tạo ba điểm thẳng hàng</t>
  </si>
  <si>
    <t>Thanh công cụ</t>
  </si>
  <si>
    <t>Mở menu Thêm mới và Chỉnh sửa</t>
  </si>
  <si>
    <t>Toolbar vẽ đang hiển thị</t>
  </si>
  <si>
    <t>Click mũi tên cạnh icon thao tác</t>
  </si>
  <si>
    <t>Hiển thị đúng lựa chọn Thêm mới và Chỉnh sửa</t>
  </si>
  <si>
    <t>Chọn màu từ bảng màu</t>
  </si>
  <si>
    <t>Toolbar đang hiển thị</t>
  </si>
  <si>
    <t>Click chấm màu và chọn màu</t>
  </si>
  <si>
    <t>Undo khi chưa có thao tác</t>
  </si>
  <si>
    <t>Mới mở drawing mode</t>
  </si>
  <si>
    <t>Redo khi chưa Undo</t>
  </si>
  <si>
    <t>Đã vẽ nhưng chưa Undo</t>
  </si>
  <si>
    <t>Undo liên tiếp nhiều thao tác</t>
  </si>
  <si>
    <t>Đã tạo nhiều điểm hoặc nét</t>
  </si>
  <si>
    <t>Click Undo nhiều lần</t>
  </si>
  <si>
    <t>Loại bỏ thao tác theo thứ tự mới nhất trước</t>
  </si>
  <si>
    <t>Vẽ mới sau khi Undo</t>
  </si>
  <si>
    <t>Vừa Undo một thao tác</t>
  </si>
  <si>
    <t>Thực hiện thao tác vẽ mới</t>
  </si>
  <si>
    <t>Lịch sử Redo cũ bị xóa</t>
  </si>
  <si>
    <t>Đã có dữ liệu vẽ</t>
  </si>
  <si>
    <t>Click icon tẩy</t>
  </si>
  <si>
    <t>Double click nút Lưu</t>
  </si>
  <si>
    <t>Có bản vẽ hợp lệ</t>
  </si>
  <si>
    <t>Double click Lưu bản vẽ</t>
  </si>
  <si>
    <t>Chỉ gửi một request và không tạo bản ghi trùng</t>
  </si>
  <si>
    <t>Lưu khi chưa có dữ liệu</t>
  </si>
  <si>
    <t>Chưa thực hiện thao tác vẽ</t>
  </si>
  <si>
    <t>Hủy bản vẽ</t>
  </si>
  <si>
    <t>Hủy khi chưa có dữ liệu</t>
  </si>
  <si>
    <t>Click Hủy</t>
  </si>
  <si>
    <t>Hủy khi có dữ liệu chưa lưu</t>
  </si>
  <si>
    <t>Lưu bản vẽ</t>
  </si>
  <si>
    <t>Lưu bản vẽ thành công</t>
  </si>
  <si>
    <t>User đăng nhập và có bản vẽ hợp lệ</t>
  </si>
  <si>
    <t>Service lưu trả lỗi</t>
  </si>
  <si>
    <t>Giả lập lỗi 4xx hoặc 5xx và nhấn Lưu</t>
  </si>
  <si>
    <t>Hiển thị lỗi và giữ bản vẽ để người dùng thử lại</t>
  </si>
  <si>
    <t>Timeout sau khi backend đã lưu</t>
  </si>
  <si>
    <t>Backend lưu nhưng client timeout, sau đó lưu lại</t>
  </si>
  <si>
    <t>Không tạo bản ghi trùng</t>
  </si>
  <si>
    <t>Chỉnh sửa bản vẽ</t>
  </si>
  <si>
    <t>Chuyển sang chế độ chỉnh sửa</t>
  </si>
  <si>
    <t>Có bản vẽ đã lưu hoặc đã tạo</t>
  </si>
  <si>
    <t>Mở menu và chọn Chỉnh sửa</t>
  </si>
  <si>
    <t>Chuyển sang edit mode và hiển thị các điểm chỉnh sửa</t>
  </si>
  <si>
    <t>Kéo một đỉnh sang vị trí mới</t>
  </si>
  <si>
    <t>Đang chỉnh sửa polygon</t>
  </si>
  <si>
    <t>Giữ và kéo một đỉnh</t>
  </si>
  <si>
    <t>Đỉnh di chuyển và các cạnh cập nhật theo thời gian thực</t>
  </si>
  <si>
    <t>Thêm điểm mới trên cạnh</t>
  </si>
  <si>
    <t>Click vào giữa một đoạn thẳng</t>
  </si>
  <si>
    <t>Thêm đỉnh đúng vị trí và polygon vẫn kín</t>
  </si>
  <si>
    <t>Xóa một đỉnh polygon</t>
  </si>
  <si>
    <t>Polygon có trên ba đỉnh</t>
  </si>
  <si>
    <t>Thực hiện thao tác xóa một đỉnh</t>
  </si>
  <si>
    <t>Xóa đỉnh, nối lại hai đỉnh lân cận và giữ polygon hợp lệ</t>
  </si>
  <si>
    <t>1. Mở bản đồ 360
2. Quan sát cạnh phải bản đồ</t>
  </si>
  <si>
    <t>Chuyển chế độ vẽ và giữ bản vẽ tạm của chế độ trước</t>
  </si>
  <si>
    <t>Các điểm được nối đúng thứ tự</t>
  </si>
  <si>
    <t>Redo disabled khi không có undo</t>
  </si>
  <si>
    <t>Undo disabled</t>
  </si>
  <si>
    <t>Chưa có cách xử lý cụ thể</t>
  </si>
  <si>
    <t>Vẫn giữ 1 tọa độ đó</t>
  </si>
  <si>
    <t>Vẫn tính được</t>
  </si>
  <si>
    <t>Màu được chọn hiển thị trên toolbar và áp dụng cho bản vẽ mới</t>
  </si>
  <si>
    <t>Sử dụng icon tẩy để xóa</t>
  </si>
  <si>
    <t>Chuyển sang chế độ xóa</t>
  </si>
  <si>
    <t>Nút Lưu disabled</t>
  </si>
  <si>
    <t>Xóa bản vẽ chưa bấm hoàn tất</t>
  </si>
  <si>
    <t>Nút hủy bị disable</t>
  </si>
  <si>
    <t>Hoàn tất bản vẽ</t>
  </si>
  <si>
    <t>Hoàn tất bản vẽ khi chưa vẽ</t>
  </si>
  <si>
    <t>Click Hoàn tất</t>
  </si>
  <si>
    <t>Hủy sau khi đã hoàn tất bản vẽ</t>
  </si>
  <si>
    <t>Đã hoàn tất 1 bản vẽ</t>
  </si>
  <si>
    <t xml:space="preserve">Nút hoàn tất bị disable </t>
  </si>
  <si>
    <t xml:space="preserve">Lưu thành công và mở popup lưu bản vẽ vào sổ tay </t>
  </si>
  <si>
    <t>Popup lưu bản vẽ</t>
  </si>
  <si>
    <t>Popup Lưu bản vẽ</t>
  </si>
  <si>
    <t>Đã ấn Lưu</t>
  </si>
  <si>
    <t>Quan sát popup</t>
  </si>
  <si>
    <t>Hiển thị đúng và đầy đủ, không bị vỡ</t>
  </si>
  <si>
    <t>Để trông nhập tên bản vẽ</t>
  </si>
  <si>
    <t>Không ghi tên bản vẽ và lưu</t>
  </si>
  <si>
    <t>Ghi tên bản vẽ và lưu</t>
  </si>
  <si>
    <t>Lưu bản vẽ vào sổ tay vào much tài nguyên và hiện thông báo Lưu bản vẽ thành công</t>
  </si>
  <si>
    <t>Thông báo lỗi không tìm thấy địa điểm</t>
  </si>
  <si>
    <t>1. Truy cập trang Bất động sản 360.
2. Nhập một chuỗi ký tự dài vào ô tìm kiếm tổng hợp, vượt quá giới hạn cho phép.
3. Nhấn phím Enter hoặc click vào biểu tượng tìm kiếm.</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</si>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</sst>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Arial"/>
      <family val="2"/>
      <scheme val="minor"/>
    </font>
    <font>
      <b/>
      <sz val="16"/>
      <name val="Times New Roman"/>
      <family val="1"/>
    </font>
    <font>
      <sz val="16"/>
      <name val="Times New Roman"/>
      <family val="1"/>
    </font>
    <font>
      <b/>
      <sz val="11"/>
      <name val="Times New Roman"/>
      <family val="1"/>
    </font>
    <font>
      <b/>
      <sz val="11"/>
      <color rgb="FFFF0000"/>
      <name val="Times New Roman"/>
      <family val="1"/>
    </font>
    <font>
      <b/>
      <sz val="11"/>
      <color rgb="FF333333"/>
      <name val="Times New Roman"/>
      <family val="1"/>
    </font>
    <font>
      <sz val="11"/>
      <name val="Times New Roman"/>
      <family val="1"/>
    </font>
    <font>
      <i/>
      <sz val="9"/>
      <name val="Times New Roman"/>
      <family val="1"/>
    </font>
    <font>
      <sz val="9"/>
      <name val="Times New Roman"/>
      <family val="1"/>
    </font>
    <font>
      <b/>
      <sz val="11"/>
      <color theme="1"/>
      <name val="Times New Roman"/>
      <family val="1"/>
    </font>
    <font>
      <i/>
      <sz val="9"/>
      <color theme="1"/>
      <name val="Times New Roman"/>
      <family val="1"/>
    </font>
    <font>
      <sz val="11"/>
      <color theme="1"/>
      <name val="Times New Roman"/>
      <family val="1"/>
    </font>
    <font>
      <b/>
      <sz val="11"/>
      <color theme="1"/>
      <name val="Arial"/>
      <family val="2"/>
      <scheme val="minor"/>
    </font>
    <font>
      <sz val="10"/>
      <color theme="1"/>
      <name val="Arial Unicode MS"/>
    </font>
    <font>
      <sz val="11"/>
      <color rgb="FF000000"/>
      <name val="Arial"/>
      <family val="2"/>
      <scheme val="minor"/>
    </font>
  </fonts>
  <fills count="8">
    <fill>
      <patternFill patternType="none"/>
    </fill>
    <fill>
      <patternFill patternType="gray125"/>
    </fill>
    <fill>
      <patternFill patternType="solid">
        <fgColor indexed="9"/>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BDD7EE"/>
        <bgColor rgb="FF000000"/>
      </patternFill>
    </fill>
    <fill>
      <patternFill patternType="solid">
        <fgColor rgb="FFA9D08E"/>
        <bgColor rgb="FF000000"/>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3" fillId="2" borderId="11" xfId="0" applyFont="1" applyFill="1" applyBorder="1" applyAlignment="1">
      <alignment vertical="center" wrapText="1"/>
    </xf>
    <xf numFmtId="0" fontId="4" fillId="0" borderId="12" xfId="0" applyFont="1" applyBorder="1" applyAlignment="1">
      <alignment horizontal="center" vertical="center" wrapText="1"/>
    </xf>
    <xf numFmtId="0" fontId="0" fillId="0" borderId="0" xfId="0" applyAlignment="1">
      <alignment vertical="center" wrapText="1"/>
    </xf>
    <xf numFmtId="0" fontId="5" fillId="0" borderId="0" xfId="0" applyFont="1" applyAlignment="1">
      <alignment horizontal="right" vertical="center" wrapText="1"/>
    </xf>
    <xf numFmtId="0" fontId="3" fillId="2" borderId="0" xfId="0" applyFont="1" applyFill="1" applyAlignment="1">
      <alignment vertical="center" wrapText="1"/>
    </xf>
    <xf numFmtId="0" fontId="6" fillId="0" borderId="0" xfId="0" applyFont="1" applyAlignment="1">
      <alignment horizontal="center" vertical="center" wrapText="1"/>
    </xf>
    <xf numFmtId="0" fontId="3" fillId="3"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11" fillId="0" borderId="12" xfId="0" applyFont="1" applyBorder="1" applyAlignment="1">
      <alignment horizontal="left" vertical="top" wrapText="1"/>
    </xf>
    <xf numFmtId="0" fontId="11" fillId="0" borderId="0" xfId="0" applyFont="1" applyAlignment="1">
      <alignment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3" fillId="2" borderId="11" xfId="0" applyFont="1" applyFill="1" applyBorder="1" applyAlignment="1">
      <alignment vertical="center" wrapText="1"/>
    </xf>
    <xf numFmtId="0" fontId="0" fillId="4" borderId="0" xfId="0" applyFill="1" applyAlignment="1">
      <alignment horizontal="left" wrapText="1"/>
    </xf>
    <xf numFmtId="0" fontId="0" fillId="4" borderId="2" xfId="0" applyFill="1" applyBorder="1" applyAlignment="1">
      <alignment horizontal="left" wrapText="1"/>
    </xf>
    <xf numFmtId="0" fontId="0" fillId="4" borderId="0" xfId="0" applyFill="1" applyAlignment="1">
      <alignment horizontal="left"/>
    </xf>
    <xf numFmtId="0" fontId="0" fillId="5" borderId="0" xfId="0" applyFill="1" applyAlignment="1">
      <alignment horizontal="left" wrapText="1"/>
    </xf>
    <xf numFmtId="0" fontId="14" fillId="6" borderId="2" xfId="0" applyFont="1" applyFill="1" applyBorder="1" applyAlignment="1">
      <alignment horizontal="left" wrapText="1"/>
    </xf>
    <xf numFmtId="0" fontId="14" fillId="7" borderId="0" xfId="0" applyFont="1" applyFill="1" applyAlignment="1">
      <alignment horizontal="left" wrapText="1"/>
    </xf>
  </cellXfs>
  <cellStyles count="1">
    <cellStyle name="Normal" xfId="0" builtinId="0"/>
  </cellStyles>
  <dxfs count="0"/>
  <tableStyles count="1" defaultTableStyle="TableStyleMedium2" defaultPivotStyle="PivotStyleLight16">
    <tableStyle name="Invisible" pivot="0" table="0" count="0" xr9:uid="{75539C67-2618-42C0-9D62-8DF45AA6D9A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8"/>
  <sheetViews>
    <sheetView tabSelected="1" workbookViewId="0">
      <selection activeCell="K9" sqref="A1:K9"/>
    </sheetView>
  </sheetViews>
  <sheetFormatPr defaultRowHeight="13.8"/>
  <cols>
    <col min="1" max="1" width="16.19921875" style="1" customWidth="1"/>
    <col min="2" max="2" width="24.296875" style="1" customWidth="1"/>
    <col min="3" max="3" width="26" style="1" customWidth="1"/>
    <col min="4" max="4" width="23.19921875" style="1" customWidth="1"/>
    <col min="5" max="5" width="53.59765625" style="1" customWidth="1"/>
    <col min="6" max="6" width="23.3984375" style="1" customWidth="1"/>
    <col min="7" max="7" width="33.796875" style="1" customWidth="1"/>
    <col min="8" max="8" width="13.3984375" style="1" customWidth="1"/>
    <col min="9" max="9" width="19.09765625" style="1" customWidth="1"/>
    <col min="10" max="10" width="23.3984375" style="1" customWidth="1"/>
    <col min="11" max="11" width="29.3984375" style="1" customWidth="1"/>
    <col min="12" max="16384" width="8.796875" style="1"/>
  </cols>
  <sheetData>
    <row r="1" spans="1:11">
      <c r="A1" s="12" t="s">
        <v>0</v>
      </c>
      <c r="B1" s="13"/>
      <c r="C1" s="13"/>
      <c r="D1" s="13"/>
      <c r="E1" s="14"/>
    </row>
    <row r="2" spans="1:11">
      <c r="A2" s="15"/>
      <c r="B2" s="16"/>
      <c r="C2" s="16"/>
      <c r="D2" s="16"/>
      <c r="E2" s="17"/>
    </row>
    <row r="3" spans="1:11">
      <c r="A3" s="18"/>
      <c r="B3" s="19"/>
      <c r="C3" s="19"/>
      <c r="D3" s="19"/>
      <c r="E3" s="20"/>
    </row>
    <row r="4" spans="1:11">
      <c r="A4" s="21" t="s">
        <v>1</v>
      </c>
      <c r="B4" s="22"/>
      <c r="C4" s="23"/>
      <c r="D4" s="2" t="s">
        <v>2</v>
      </c>
      <c r="E4" s="3">
        <f>COUNTIF(H12:H397,"PASS")</f>
        <v>0</v>
      </c>
      <c r="F4" s="4"/>
      <c r="G4" s="4"/>
      <c r="H4" s="4"/>
      <c r="I4" s="4"/>
      <c r="J4" s="4"/>
      <c r="K4" s="4"/>
    </row>
    <row r="5" spans="1:11">
      <c r="A5" s="21" t="s">
        <v>3</v>
      </c>
      <c r="B5" s="22"/>
      <c r="C5" s="23"/>
      <c r="D5" s="2"/>
      <c r="E5" s="3">
        <f>COUNTIF(H12:H397,"FAIL")</f>
        <v>0</v>
      </c>
      <c r="F5" s="4"/>
      <c r="G5" s="4"/>
      <c r="H5" s="4"/>
      <c r="I5" s="4"/>
      <c r="J5" s="4"/>
      <c r="K5" s="4"/>
    </row>
    <row r="6" spans="1:11">
      <c r="A6" s="21" t="s">
        <v>4</v>
      </c>
      <c r="B6" s="22"/>
      <c r="C6" s="23"/>
      <c r="D6" s="2"/>
      <c r="E6" s="3">
        <f>COUNTIF(H12:H397,"Pending")</f>
        <v>0</v>
      </c>
      <c r="G6" s="4"/>
      <c r="H6" s="4"/>
      <c r="I6" s="4"/>
      <c r="J6" s="4"/>
      <c r="K6" s="4"/>
    </row>
    <row r="7" spans="1:11">
      <c r="A7" s="21" t="s">
        <v>5</v>
      </c>
      <c r="B7" s="22"/>
      <c r="C7" s="23"/>
      <c r="D7" s="2"/>
      <c r="E7" s="3">
        <f>COUNTA(H12:H397)</f>
        <v>0</v>
      </c>
      <c r="F7" s="4"/>
      <c r="G7" s="4"/>
      <c r="H7" s="4"/>
      <c r="I7" s="4"/>
      <c r="J7" s="4"/>
      <c r="K7" s="4"/>
    </row>
    <row r="8" spans="1:11">
      <c r="A8" s="5"/>
      <c r="B8" s="6"/>
      <c r="C8" s="6"/>
      <c r="D8" s="6"/>
      <c r="E8" s="6"/>
      <c r="F8" s="7"/>
      <c r="G8" s="7"/>
      <c r="H8" s="7"/>
      <c r="I8" s="7"/>
      <c r="J8" s="7"/>
      <c r="K8" s="7"/>
    </row>
    <row r="9" spans="1:11" ht="37.799999999999997">
      <c r="A9" s="8" t="s">
        <v>6</v>
      </c>
      <c r="B9" s="8" t="s">
        <v>7</v>
      </c>
      <c r="C9" s="8" t="s">
        <v>8</v>
      </c>
      <c r="D9" s="8" t="s">
        <v>9</v>
      </c>
      <c r="E9" s="8" t="s">
        <v>10</v>
      </c>
      <c r="F9" s="8" t="s">
        <v>11</v>
      </c>
      <c r="G9" s="8" t="s">
        <v>12</v>
      </c>
      <c r="H9" s="8" t="s">
        <v>13</v>
      </c>
      <c r="I9" s="8" t="s">
        <v>14</v>
      </c>
      <c r="J9" s="8" t="s">
        <v>15</v>
      </c>
      <c r="K9" s="9" t="s">
        <v>16</v>
      </c>
    </row>
    <row r="10" spans="1:11">
      <c r="A10" s="25" t="s">
        <v>24</v>
      </c>
      <c r="B10" s="25"/>
      <c r="C10" s="25"/>
      <c r="D10" s="25"/>
      <c r="E10" s="25"/>
      <c r="F10" s="25"/>
      <c r="G10" s="25"/>
      <c r="H10" s="25"/>
      <c r="I10" s="25"/>
      <c r="J10" s="25"/>
      <c r="K10" s="25"/>
    </row>
    <row r="11" spans="1:11" ht="69">
      <c r="B11" s="1" t="s">
        <v>23</v>
      </c>
      <c r="C11" s="10" t="s">
        <v>17</v>
      </c>
      <c r="D11" s="10" t="s">
        <v>25</v>
      </c>
      <c r="E11" s="10" t="s">
        <v>26</v>
      </c>
      <c r="G11" s="10" t="s">
        <v>187</v>
      </c>
    </row>
    <row r="12" spans="1:11" ht="41.4">
      <c r="C12" s="10" t="s">
        <v>18</v>
      </c>
      <c r="E12" s="10" t="s">
        <v>27</v>
      </c>
      <c r="G12" s="10" t="s">
        <v>32</v>
      </c>
    </row>
    <row r="13" spans="1:11" ht="55.2">
      <c r="C13" s="10" t="s">
        <v>19</v>
      </c>
      <c r="E13" s="10" t="s">
        <v>28</v>
      </c>
      <c r="G13" s="10" t="s">
        <v>33</v>
      </c>
    </row>
    <row r="14" spans="1:11" ht="55.2">
      <c r="C14" s="10" t="s">
        <v>20</v>
      </c>
      <c r="E14" s="10" t="s">
        <v>29</v>
      </c>
      <c r="G14" s="10" t="s">
        <v>34</v>
      </c>
    </row>
    <row r="15" spans="1:11" ht="55.2">
      <c r="C15" s="10" t="s">
        <v>21</v>
      </c>
      <c r="E15" s="10" t="s">
        <v>30</v>
      </c>
      <c r="G15" s="10" t="s">
        <v>696</v>
      </c>
      <c r="H15" s="11"/>
    </row>
    <row r="16" spans="1:11" ht="55.2">
      <c r="C16" s="10" t="s">
        <v>22</v>
      </c>
      <c r="E16" s="10" t="s">
        <v>31</v>
      </c>
      <c r="G16" s="10" t="s">
        <v>35</v>
      </c>
    </row>
    <row r="17" spans="1:11">
      <c r="A17" s="24" t="s">
        <v>36</v>
      </c>
      <c r="B17" s="24"/>
      <c r="C17" s="24"/>
      <c r="D17" s="24"/>
      <c r="E17" s="24"/>
      <c r="F17" s="24"/>
      <c r="G17" s="24"/>
      <c r="H17" s="24"/>
      <c r="I17" s="24"/>
      <c r="J17" s="24"/>
      <c r="K17" s="24"/>
    </row>
    <row r="18" spans="1:11" ht="41.4">
      <c r="B18" s="1" t="s">
        <v>49</v>
      </c>
      <c r="C18" s="10" t="s">
        <v>37</v>
      </c>
      <c r="D18" s="10" t="s">
        <v>50</v>
      </c>
      <c r="E18" s="10" t="s">
        <v>53</v>
      </c>
      <c r="G18" s="10" t="s">
        <v>64</v>
      </c>
    </row>
    <row r="19" spans="1:11" ht="55.2">
      <c r="C19" s="10" t="s">
        <v>38</v>
      </c>
      <c r="E19" s="10" t="s">
        <v>54</v>
      </c>
      <c r="G19" s="10" t="s">
        <v>65</v>
      </c>
    </row>
    <row r="20" spans="1:11" ht="55.2">
      <c r="C20" s="10" t="s">
        <v>39</v>
      </c>
      <c r="E20" s="10" t="s">
        <v>55</v>
      </c>
      <c r="G20" s="10" t="s">
        <v>66</v>
      </c>
    </row>
    <row r="21" spans="1:11" ht="41.4">
      <c r="C21" s="10" t="s">
        <v>40</v>
      </c>
      <c r="E21" s="10" t="s">
        <v>56</v>
      </c>
      <c r="G21" s="10" t="s">
        <v>67</v>
      </c>
    </row>
    <row r="22" spans="1:11" ht="55.2">
      <c r="C22" s="10" t="s">
        <v>41</v>
      </c>
      <c r="E22" s="10" t="s">
        <v>57</v>
      </c>
      <c r="G22" s="10" t="s">
        <v>68</v>
      </c>
    </row>
    <row r="23" spans="1:11" ht="55.2">
      <c r="C23" s="10" t="s">
        <v>42</v>
      </c>
      <c r="E23" s="10" t="s">
        <v>697</v>
      </c>
      <c r="G23" s="10" t="s">
        <v>69</v>
      </c>
    </row>
    <row r="24" spans="1:11" ht="55.2">
      <c r="C24" s="10" t="s">
        <v>43</v>
      </c>
      <c r="E24" s="10" t="s">
        <v>58</v>
      </c>
      <c r="G24" s="10" t="s">
        <v>70</v>
      </c>
    </row>
    <row r="25" spans="1:11" ht="55.2">
      <c r="C25" s="10" t="s">
        <v>44</v>
      </c>
      <c r="E25" s="10" t="s">
        <v>59</v>
      </c>
      <c r="G25" s="10" t="s">
        <v>71</v>
      </c>
    </row>
    <row r="26" spans="1:11" ht="55.2">
      <c r="C26" s="10" t="s">
        <v>45</v>
      </c>
      <c r="E26" s="10" t="s">
        <v>60</v>
      </c>
      <c r="G26" s="10" t="s">
        <v>72</v>
      </c>
    </row>
    <row r="27" spans="1:11" ht="41.4">
      <c r="C27" s="10" t="s">
        <v>46</v>
      </c>
      <c r="D27" s="10" t="s">
        <v>52</v>
      </c>
      <c r="E27" s="10" t="s">
        <v>61</v>
      </c>
      <c r="G27" s="10" t="s">
        <v>73</v>
      </c>
    </row>
    <row r="28" spans="1:11" ht="41.4">
      <c r="C28" s="10" t="s">
        <v>47</v>
      </c>
      <c r="D28" s="10" t="s">
        <v>51</v>
      </c>
      <c r="E28" s="10" t="s">
        <v>62</v>
      </c>
      <c r="G28" s="10" t="s">
        <v>74</v>
      </c>
    </row>
    <row r="29" spans="1:11" ht="41.4">
      <c r="C29" s="10" t="s">
        <v>48</v>
      </c>
      <c r="D29" s="10" t="s">
        <v>52</v>
      </c>
      <c r="E29" s="10" t="s">
        <v>63</v>
      </c>
      <c r="G29" s="10" t="s">
        <v>75</v>
      </c>
    </row>
    <row r="30" spans="1:11">
      <c r="A30" s="24" t="s">
        <v>76</v>
      </c>
      <c r="B30" s="24"/>
      <c r="C30" s="24"/>
      <c r="D30" s="24"/>
      <c r="E30" s="24"/>
      <c r="F30" s="24"/>
      <c r="G30" s="24"/>
      <c r="H30" s="24"/>
      <c r="I30" s="24"/>
      <c r="J30" s="24"/>
      <c r="K30" s="24"/>
    </row>
    <row r="31" spans="1:11" ht="41.4">
      <c r="B31" s="1" t="s">
        <v>49</v>
      </c>
      <c r="C31" s="10" t="s">
        <v>77</v>
      </c>
      <c r="D31" s="10" t="s">
        <v>25</v>
      </c>
      <c r="E31" s="10" t="s">
        <v>87</v>
      </c>
      <c r="G31" s="10" t="s">
        <v>94</v>
      </c>
    </row>
    <row r="32" spans="1:11" ht="41.4">
      <c r="C32" s="10" t="s">
        <v>78</v>
      </c>
      <c r="E32" s="10" t="s">
        <v>88</v>
      </c>
      <c r="G32" s="10" t="s">
        <v>95</v>
      </c>
    </row>
    <row r="33" spans="1:11" ht="41.4">
      <c r="C33" s="10" t="s">
        <v>79</v>
      </c>
      <c r="E33" s="10" t="s">
        <v>89</v>
      </c>
      <c r="G33" s="10" t="s">
        <v>96</v>
      </c>
    </row>
    <row r="34" spans="1:11" ht="41.4">
      <c r="C34" s="10" t="s">
        <v>80</v>
      </c>
      <c r="D34" s="10" t="s">
        <v>84</v>
      </c>
      <c r="E34" s="10" t="s">
        <v>90</v>
      </c>
      <c r="G34" s="10" t="s">
        <v>97</v>
      </c>
    </row>
    <row r="35" spans="1:11" ht="55.2">
      <c r="C35" s="10" t="s">
        <v>81</v>
      </c>
      <c r="D35" s="10" t="s">
        <v>25</v>
      </c>
      <c r="E35" s="10" t="s">
        <v>91</v>
      </c>
      <c r="G35" s="10" t="s">
        <v>98</v>
      </c>
    </row>
    <row r="36" spans="1:11" ht="69">
      <c r="C36" s="10" t="s">
        <v>82</v>
      </c>
      <c r="D36" s="10" t="s">
        <v>85</v>
      </c>
      <c r="E36" s="10" t="s">
        <v>92</v>
      </c>
      <c r="G36" s="10" t="s">
        <v>99</v>
      </c>
    </row>
    <row r="37" spans="1:11" ht="41.4">
      <c r="C37" s="10" t="s">
        <v>83</v>
      </c>
      <c r="D37" s="10" t="s">
        <v>86</v>
      </c>
      <c r="E37" s="10" t="s">
        <v>93</v>
      </c>
      <c r="G37" s="10" t="s">
        <v>100</v>
      </c>
    </row>
    <row r="38" spans="1:11">
      <c r="A38" s="24" t="s">
        <v>101</v>
      </c>
      <c r="B38" s="24"/>
      <c r="C38" s="24"/>
      <c r="D38" s="24"/>
      <c r="E38" s="24"/>
      <c r="F38" s="24"/>
      <c r="G38" s="24"/>
      <c r="H38" s="24"/>
      <c r="I38" s="24"/>
      <c r="J38" s="24"/>
      <c r="K38" s="24"/>
    </row>
    <row r="39" spans="1:11" ht="27.6">
      <c r="B39" s="1" t="s">
        <v>23</v>
      </c>
      <c r="C39" s="10" t="s">
        <v>102</v>
      </c>
      <c r="D39" s="10" t="s">
        <v>113</v>
      </c>
      <c r="E39" s="10" t="s">
        <v>114</v>
      </c>
      <c r="G39" s="10" t="s">
        <v>186</v>
      </c>
    </row>
    <row r="40" spans="1:11" ht="41.4">
      <c r="C40" s="10" t="s">
        <v>103</v>
      </c>
      <c r="E40" s="10" t="s">
        <v>115</v>
      </c>
      <c r="G40" s="10" t="s">
        <v>186</v>
      </c>
    </row>
    <row r="41" spans="1:11" ht="27.6">
      <c r="C41" s="10" t="s">
        <v>104</v>
      </c>
      <c r="E41" s="10" t="s">
        <v>116</v>
      </c>
      <c r="G41" s="10" t="s">
        <v>185</v>
      </c>
    </row>
    <row r="42" spans="1:11" ht="69">
      <c r="C42" s="10" t="s">
        <v>105</v>
      </c>
      <c r="E42" s="10" t="s">
        <v>117</v>
      </c>
      <c r="G42" s="10" t="s">
        <v>184</v>
      </c>
    </row>
    <row r="43" spans="1:11" ht="69">
      <c r="C43" s="10" t="s">
        <v>106</v>
      </c>
      <c r="E43" s="10" t="s">
        <v>118</v>
      </c>
      <c r="G43" s="10" t="s">
        <v>125</v>
      </c>
    </row>
    <row r="44" spans="1:11" ht="69">
      <c r="C44" s="10" t="s">
        <v>107</v>
      </c>
      <c r="E44" s="10" t="s">
        <v>119</v>
      </c>
      <c r="G44" s="10" t="s">
        <v>126</v>
      </c>
    </row>
    <row r="45" spans="1:11" ht="69">
      <c r="C45" s="10" t="s">
        <v>108</v>
      </c>
      <c r="E45" s="10" t="s">
        <v>120</v>
      </c>
      <c r="G45" s="10" t="s">
        <v>127</v>
      </c>
    </row>
    <row r="46" spans="1:11" ht="69">
      <c r="C46" s="10" t="s">
        <v>109</v>
      </c>
      <c r="E46" s="10" t="s">
        <v>121</v>
      </c>
      <c r="G46" s="10" t="s">
        <v>128</v>
      </c>
    </row>
    <row r="47" spans="1:11" ht="69">
      <c r="C47" s="10" t="s">
        <v>110</v>
      </c>
      <c r="E47" s="10" t="s">
        <v>122</v>
      </c>
      <c r="G47" s="10" t="s">
        <v>129</v>
      </c>
    </row>
    <row r="48" spans="1:11" ht="69">
      <c r="C48" s="10" t="s">
        <v>111</v>
      </c>
      <c r="E48" s="10" t="s">
        <v>123</v>
      </c>
      <c r="G48" s="10" t="s">
        <v>130</v>
      </c>
    </row>
    <row r="49" spans="1:11" ht="69">
      <c r="C49" s="10" t="s">
        <v>112</v>
      </c>
      <c r="E49" s="10" t="s">
        <v>124</v>
      </c>
      <c r="G49" s="10" t="s">
        <v>131</v>
      </c>
    </row>
    <row r="50" spans="1:11">
      <c r="A50" s="24" t="s">
        <v>132</v>
      </c>
      <c r="B50" s="24"/>
      <c r="C50" s="24"/>
      <c r="D50" s="24"/>
      <c r="E50" s="24"/>
      <c r="F50" s="24"/>
      <c r="G50" s="24"/>
      <c r="H50" s="24"/>
      <c r="I50" s="24"/>
      <c r="J50" s="24"/>
      <c r="K50" s="24"/>
    </row>
    <row r="51" spans="1:11" ht="55.2">
      <c r="B51" s="1" t="s">
        <v>23</v>
      </c>
      <c r="C51" s="10" t="s">
        <v>133</v>
      </c>
      <c r="D51" s="10" t="s">
        <v>138</v>
      </c>
      <c r="E51" s="10" t="s">
        <v>139</v>
      </c>
      <c r="G51" s="10" t="s">
        <v>144</v>
      </c>
    </row>
    <row r="52" spans="1:11" ht="55.2">
      <c r="C52" s="10" t="s">
        <v>134</v>
      </c>
      <c r="D52" s="10" t="s">
        <v>138</v>
      </c>
      <c r="E52" s="10" t="s">
        <v>140</v>
      </c>
      <c r="G52" s="10" t="s">
        <v>180</v>
      </c>
    </row>
    <row r="53" spans="1:11" ht="55.2">
      <c r="C53" s="10" t="s">
        <v>135</v>
      </c>
      <c r="D53" s="10" t="s">
        <v>138</v>
      </c>
      <c r="E53" s="10" t="s">
        <v>141</v>
      </c>
      <c r="G53" s="10" t="s">
        <v>178</v>
      </c>
    </row>
    <row r="54" spans="1:11" ht="55.2">
      <c r="C54" s="10" t="s">
        <v>136</v>
      </c>
      <c r="D54" s="10" t="s">
        <v>138</v>
      </c>
      <c r="E54" s="10" t="s">
        <v>142</v>
      </c>
      <c r="G54" s="10" t="s">
        <v>177</v>
      </c>
    </row>
    <row r="55" spans="1:11" ht="55.2">
      <c r="C55" s="10" t="s">
        <v>137</v>
      </c>
      <c r="D55" s="10" t="s">
        <v>138</v>
      </c>
      <c r="E55" s="10" t="s">
        <v>143</v>
      </c>
      <c r="G55" s="10" t="s">
        <v>177</v>
      </c>
    </row>
    <row r="56" spans="1:11" ht="55.2">
      <c r="C56" s="10" t="s">
        <v>183</v>
      </c>
      <c r="D56" s="10" t="s">
        <v>138</v>
      </c>
      <c r="E56" s="10" t="s">
        <v>181</v>
      </c>
      <c r="G56" s="10" t="s">
        <v>182</v>
      </c>
    </row>
    <row r="57" spans="1:11">
      <c r="A57" s="24" t="s">
        <v>145</v>
      </c>
      <c r="B57" s="24"/>
      <c r="C57" s="24"/>
      <c r="D57" s="24"/>
      <c r="E57" s="24"/>
      <c r="F57" s="24"/>
      <c r="G57" s="24"/>
      <c r="H57" s="24"/>
      <c r="I57" s="24"/>
      <c r="J57" s="24"/>
      <c r="K57" s="24"/>
    </row>
    <row r="58" spans="1:11" ht="69">
      <c r="B58" s="1" t="s">
        <v>23</v>
      </c>
      <c r="C58" s="10" t="s">
        <v>146</v>
      </c>
      <c r="D58" s="10" t="s">
        <v>157</v>
      </c>
      <c r="E58" s="10" t="s">
        <v>161</v>
      </c>
      <c r="G58" s="10" t="s">
        <v>177</v>
      </c>
    </row>
    <row r="59" spans="1:11" ht="69">
      <c r="C59" s="10" t="s">
        <v>147</v>
      </c>
      <c r="D59" s="10" t="s">
        <v>157</v>
      </c>
      <c r="E59" s="10" t="s">
        <v>162</v>
      </c>
      <c r="G59" s="10" t="s">
        <v>176</v>
      </c>
    </row>
    <row r="60" spans="1:11" ht="69">
      <c r="C60" s="10" t="s">
        <v>148</v>
      </c>
      <c r="D60" s="10" t="s">
        <v>158</v>
      </c>
      <c r="E60" s="10" t="s">
        <v>163</v>
      </c>
      <c r="G60" s="10" t="s">
        <v>175</v>
      </c>
    </row>
    <row r="61" spans="1:11" ht="69">
      <c r="C61" s="10" t="s">
        <v>149</v>
      </c>
      <c r="D61" s="10" t="s">
        <v>158</v>
      </c>
      <c r="E61" s="10" t="s">
        <v>164</v>
      </c>
      <c r="G61" s="10" t="s">
        <v>175</v>
      </c>
    </row>
    <row r="62" spans="1:11" ht="55.2">
      <c r="C62" s="10" t="s">
        <v>150</v>
      </c>
      <c r="D62" s="10" t="s">
        <v>158</v>
      </c>
      <c r="E62" s="10" t="s">
        <v>165</v>
      </c>
      <c r="G62" s="10" t="s">
        <v>175</v>
      </c>
    </row>
    <row r="63" spans="1:11" ht="55.2">
      <c r="C63" s="10" t="s">
        <v>151</v>
      </c>
      <c r="D63" s="10" t="s">
        <v>158</v>
      </c>
      <c r="E63" s="10" t="s">
        <v>166</v>
      </c>
      <c r="G63" s="10" t="s">
        <v>178</v>
      </c>
    </row>
    <row r="64" spans="1:11" ht="69">
      <c r="C64" s="10" t="s">
        <v>152</v>
      </c>
      <c r="D64" s="10" t="s">
        <v>159</v>
      </c>
      <c r="E64" s="10" t="s">
        <v>167</v>
      </c>
      <c r="G64" s="10" t="s">
        <v>172</v>
      </c>
    </row>
    <row r="65" spans="3:7" ht="55.2">
      <c r="C65" s="10" t="s">
        <v>153</v>
      </c>
      <c r="D65" s="10" t="s">
        <v>160</v>
      </c>
      <c r="E65" s="10" t="s">
        <v>168</v>
      </c>
      <c r="G65" s="10"/>
    </row>
    <row r="66" spans="3:7" ht="69">
      <c r="C66" s="10" t="s">
        <v>154</v>
      </c>
      <c r="D66" s="10" t="s">
        <v>160</v>
      </c>
      <c r="E66" s="10" t="s">
        <v>169</v>
      </c>
      <c r="G66" s="10"/>
    </row>
    <row r="67" spans="3:7" ht="69">
      <c r="C67" s="10" t="s">
        <v>155</v>
      </c>
      <c r="D67" s="10" t="s">
        <v>160</v>
      </c>
      <c r="E67" s="10" t="s">
        <v>170</v>
      </c>
      <c r="G67" s="10" t="s">
        <v>179</v>
      </c>
    </row>
    <row r="68" spans="3:7" ht="55.2">
      <c r="C68" s="10" t="s">
        <v>156</v>
      </c>
      <c r="D68" s="10" t="s">
        <v>160</v>
      </c>
      <c r="E68" s="10" t="s">
        <v>171</v>
      </c>
      <c r="G68" s="10" t="s">
        <v>173</v>
      </c>
    </row>
  </sheetData>
  <mergeCells count="11">
    <mergeCell ref="A57:K57"/>
    <mergeCell ref="A10:K10"/>
    <mergeCell ref="A17:K17"/>
    <mergeCell ref="A30:K30"/>
    <mergeCell ref="A38:K38"/>
    <mergeCell ref="A50:K50"/>
    <mergeCell ref="A1:E3"/>
    <mergeCell ref="A4:C4"/>
    <mergeCell ref="A5:C5"/>
    <mergeCell ref="A6:C6"/>
    <mergeCell ref="A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F13D-0435-42DC-8208-C331EAF635AF}">
  <dimension ref="A1:K89"/>
  <sheetViews>
    <sheetView topLeftCell="F4" workbookViewId="0">
      <selection activeCell="H12" sqref="H12"/>
    </sheetView>
  </sheetViews>
  <sheetFormatPr defaultRowHeight="13.8"/>
  <cols>
    <col min="1" max="1" width="16.19921875" customWidth="1"/>
    <col min="2" max="2" width="24.296875" customWidth="1"/>
    <col min="3" max="3" width="16.3984375" customWidth="1"/>
    <col min="4" max="4" width="23.19921875" customWidth="1"/>
    <col min="5" max="5" width="53.59765625" customWidth="1"/>
    <col min="6" max="6" width="23.3984375" customWidth="1"/>
    <col min="7" max="7" width="31.296875" customWidth="1"/>
    <col min="8" max="8" width="13.3984375" customWidth="1"/>
    <col min="9" max="9" width="19.09765625" customWidth="1"/>
    <col min="10" max="10" width="23.3984375" customWidth="1"/>
    <col min="11" max="11" width="29.3984375" customWidth="1"/>
  </cols>
  <sheetData>
    <row r="1" spans="1:11">
      <c r="A1" s="12" t="s">
        <v>0</v>
      </c>
      <c r="B1" s="13"/>
      <c r="C1" s="13"/>
      <c r="D1" s="13"/>
      <c r="E1" s="14"/>
      <c r="F1" s="1"/>
      <c r="G1" s="1"/>
      <c r="H1" s="1"/>
      <c r="I1" s="1"/>
      <c r="J1" s="1"/>
      <c r="K1" s="1"/>
    </row>
    <row r="2" spans="1:11">
      <c r="A2" s="15"/>
      <c r="B2" s="16"/>
      <c r="C2" s="16"/>
      <c r="D2" s="16"/>
      <c r="E2" s="17"/>
      <c r="F2" s="1"/>
      <c r="G2" s="1"/>
      <c r="H2" s="1"/>
      <c r="I2" s="1"/>
      <c r="J2" s="1"/>
      <c r="K2" s="1"/>
    </row>
    <row r="3" spans="1:11">
      <c r="A3" s="18"/>
      <c r="B3" s="19"/>
      <c r="C3" s="19"/>
      <c r="D3" s="19"/>
      <c r="E3" s="20"/>
      <c r="F3" s="1"/>
      <c r="G3" s="1"/>
      <c r="H3" s="1"/>
      <c r="I3" s="1"/>
      <c r="J3" s="1"/>
      <c r="K3" s="1"/>
    </row>
    <row r="4" spans="1:11">
      <c r="A4" s="21" t="s">
        <v>1</v>
      </c>
      <c r="B4" s="22"/>
      <c r="C4" s="23"/>
      <c r="D4" s="2" t="s">
        <v>2</v>
      </c>
      <c r="E4" s="3">
        <f>COUNTIF(H12:H401,"PASS")</f>
        <v>1</v>
      </c>
      <c r="F4" s="4"/>
      <c r="G4" s="4"/>
      <c r="H4" s="4"/>
      <c r="I4" s="4"/>
      <c r="J4" s="4"/>
      <c r="K4" s="4"/>
    </row>
    <row r="5" spans="1:11">
      <c r="A5" s="21" t="s">
        <v>3</v>
      </c>
      <c r="B5" s="22"/>
      <c r="C5" s="23"/>
      <c r="D5" s="2"/>
      <c r="E5" s="3">
        <f>COUNTIF(H12:H401,"FAIL")</f>
        <v>0</v>
      </c>
      <c r="F5" s="4"/>
      <c r="G5" s="4"/>
      <c r="H5" s="4"/>
      <c r="I5" s="4"/>
      <c r="J5" s="4"/>
      <c r="K5" s="4"/>
    </row>
    <row r="6" spans="1:11">
      <c r="A6" s="21" t="s">
        <v>4</v>
      </c>
      <c r="B6" s="22"/>
      <c r="C6" s="23"/>
      <c r="D6" s="2"/>
      <c r="E6" s="3">
        <f>COUNTIF(H12:H401,"Pending")</f>
        <v>0</v>
      </c>
      <c r="G6" s="4"/>
      <c r="H6" s="4"/>
      <c r="I6" s="4"/>
      <c r="J6" s="4"/>
      <c r="K6" s="4"/>
    </row>
    <row r="7" spans="1:11">
      <c r="A7" s="21" t="s">
        <v>5</v>
      </c>
      <c r="B7" s="22"/>
      <c r="C7" s="23"/>
      <c r="D7" s="2"/>
      <c r="E7" s="3">
        <f>COUNTA(H12:H401)</f>
        <v>1</v>
      </c>
      <c r="F7" s="4"/>
      <c r="G7" s="4"/>
      <c r="H7" s="4"/>
      <c r="I7" s="4"/>
      <c r="J7" s="4"/>
      <c r="K7" s="4"/>
    </row>
    <row r="8" spans="1:11">
      <c r="A8" s="5"/>
      <c r="B8" s="6"/>
      <c r="C8" s="6"/>
      <c r="D8" s="6"/>
      <c r="E8" s="6"/>
      <c r="F8" s="7"/>
      <c r="G8" s="7"/>
      <c r="H8" s="7"/>
      <c r="I8" s="7"/>
      <c r="J8" s="7"/>
      <c r="K8" s="7"/>
    </row>
    <row r="9" spans="1:11" ht="37.799999999999997">
      <c r="A9" s="8" t="s">
        <v>6</v>
      </c>
      <c r="B9" s="8" t="s">
        <v>7</v>
      </c>
      <c r="C9" s="8" t="s">
        <v>8</v>
      </c>
      <c r="D9" s="8" t="s">
        <v>9</v>
      </c>
      <c r="E9" s="8" t="s">
        <v>10</v>
      </c>
      <c r="F9" s="8" t="s">
        <v>11</v>
      </c>
      <c r="G9" s="8" t="s">
        <v>12</v>
      </c>
      <c r="H9" s="8" t="s">
        <v>13</v>
      </c>
      <c r="I9" s="8" t="s">
        <v>14</v>
      </c>
      <c r="J9" s="8" t="s">
        <v>15</v>
      </c>
      <c r="K9" s="9" t="s">
        <v>16</v>
      </c>
    </row>
    <row r="10" spans="1:11">
      <c r="A10" s="27" t="s">
        <v>174</v>
      </c>
      <c r="B10" s="27"/>
      <c r="C10" s="27"/>
      <c r="D10" s="27"/>
      <c r="E10" s="27"/>
      <c r="F10" s="27"/>
      <c r="G10" s="27"/>
      <c r="H10" s="27"/>
      <c r="I10" s="27"/>
      <c r="J10" s="27"/>
      <c r="K10" s="27"/>
    </row>
    <row r="11" spans="1:11">
      <c r="A11" s="24" t="s">
        <v>188</v>
      </c>
      <c r="B11" s="24"/>
      <c r="C11" s="24"/>
      <c r="D11" s="24"/>
      <c r="E11" s="24"/>
      <c r="F11" s="24"/>
      <c r="G11" s="24"/>
      <c r="H11" s="24"/>
      <c r="I11" s="24"/>
      <c r="J11" s="24"/>
      <c r="K11" s="24"/>
    </row>
    <row r="12" spans="1:11" ht="27.6">
      <c r="A12" s="4"/>
      <c r="B12" t="s">
        <v>240</v>
      </c>
      <c r="C12" s="4" t="s">
        <v>189</v>
      </c>
      <c r="D12" s="4" t="s">
        <v>190</v>
      </c>
      <c r="E12" s="4" t="s">
        <v>191</v>
      </c>
      <c r="F12" s="1"/>
      <c r="G12" s="4" t="s">
        <v>237</v>
      </c>
      <c r="H12" s="1" t="s">
        <v>698</v>
      </c>
      <c r="I12" s="1"/>
      <c r="J12" s="1"/>
      <c r="K12" s="1"/>
    </row>
    <row r="13" spans="1:11" ht="27.6">
      <c r="A13" s="4"/>
      <c r="C13" s="4" t="s">
        <v>192</v>
      </c>
      <c r="D13" s="4" t="s">
        <v>190</v>
      </c>
      <c r="E13" s="4" t="s">
        <v>193</v>
      </c>
      <c r="F13" s="1"/>
      <c r="G13" s="4" t="s">
        <v>194</v>
      </c>
      <c r="H13" s="1"/>
      <c r="I13" s="1"/>
      <c r="J13" s="1"/>
      <c r="K13" s="1"/>
    </row>
    <row r="14" spans="1:11" ht="41.4">
      <c r="A14" s="4"/>
      <c r="C14" s="4" t="s">
        <v>195</v>
      </c>
      <c r="D14" s="4" t="s">
        <v>196</v>
      </c>
      <c r="E14" s="4" t="s">
        <v>197</v>
      </c>
      <c r="F14" s="1"/>
      <c r="G14" s="4" t="s">
        <v>198</v>
      </c>
      <c r="H14" s="1"/>
      <c r="I14" s="1"/>
      <c r="J14" s="1"/>
      <c r="K14" s="1"/>
    </row>
    <row r="15" spans="1:11" ht="27.6">
      <c r="A15" s="4"/>
      <c r="C15" s="4" t="s">
        <v>199</v>
      </c>
      <c r="D15" s="4" t="s">
        <v>196</v>
      </c>
      <c r="E15" s="4" t="s">
        <v>200</v>
      </c>
      <c r="F15" s="1"/>
      <c r="G15" s="4" t="s">
        <v>201</v>
      </c>
      <c r="H15" s="1"/>
      <c r="I15" s="1"/>
      <c r="J15" s="1"/>
      <c r="K15" s="1"/>
    </row>
    <row r="16" spans="1:11" ht="27.6">
      <c r="A16" s="4"/>
      <c r="C16" s="4" t="s">
        <v>202</v>
      </c>
      <c r="D16" s="4" t="s">
        <v>196</v>
      </c>
      <c r="E16" s="4" t="s">
        <v>203</v>
      </c>
      <c r="F16" s="1"/>
      <c r="G16" s="4" t="s">
        <v>204</v>
      </c>
      <c r="H16" s="1"/>
      <c r="I16" s="1"/>
      <c r="J16" s="1"/>
      <c r="K16" s="1"/>
    </row>
    <row r="17" spans="1:11" ht="27.6">
      <c r="A17" s="4"/>
      <c r="C17" s="4" t="s">
        <v>205</v>
      </c>
      <c r="D17" s="4" t="s">
        <v>196</v>
      </c>
      <c r="E17" s="4" t="s">
        <v>206</v>
      </c>
      <c r="F17" s="1"/>
      <c r="G17" s="4" t="s">
        <v>207</v>
      </c>
      <c r="H17" s="1"/>
      <c r="I17" s="1"/>
      <c r="J17" s="1"/>
      <c r="K17" s="1"/>
    </row>
    <row r="18" spans="1:11" ht="41.4">
      <c r="A18" s="4"/>
      <c r="C18" s="4" t="s">
        <v>208</v>
      </c>
      <c r="D18" s="4" t="s">
        <v>196</v>
      </c>
      <c r="E18" s="4" t="s">
        <v>209</v>
      </c>
      <c r="F18" s="1"/>
      <c r="G18" s="4" t="s">
        <v>210</v>
      </c>
      <c r="H18" s="1"/>
      <c r="I18" s="1"/>
      <c r="J18" s="1"/>
      <c r="K18" s="1"/>
    </row>
    <row r="19" spans="1:11" ht="41.4">
      <c r="A19" s="4"/>
      <c r="C19" s="4" t="s">
        <v>211</v>
      </c>
      <c r="D19" s="4" t="s">
        <v>196</v>
      </c>
      <c r="E19" s="4" t="s">
        <v>212</v>
      </c>
      <c r="F19" s="1"/>
      <c r="G19" s="4" t="s">
        <v>213</v>
      </c>
      <c r="H19" s="1"/>
      <c r="I19" s="1"/>
      <c r="J19" s="1"/>
      <c r="K19" s="1"/>
    </row>
    <row r="20" spans="1:11" ht="41.4">
      <c r="A20" s="4"/>
      <c r="C20" s="4" t="s">
        <v>214</v>
      </c>
      <c r="D20" s="4" t="s">
        <v>196</v>
      </c>
      <c r="E20" s="4" t="s">
        <v>215</v>
      </c>
      <c r="F20" s="1"/>
      <c r="G20" s="4" t="s">
        <v>216</v>
      </c>
      <c r="H20" s="1"/>
      <c r="I20" s="1"/>
      <c r="J20" s="1"/>
      <c r="K20" s="1"/>
    </row>
    <row r="21" spans="1:11" ht="41.4">
      <c r="A21" s="4"/>
      <c r="C21" s="4" t="s">
        <v>217</v>
      </c>
      <c r="D21" s="4" t="s">
        <v>218</v>
      </c>
      <c r="E21" s="4" t="s">
        <v>219</v>
      </c>
      <c r="F21" s="1"/>
      <c r="G21" s="4" t="s">
        <v>220</v>
      </c>
      <c r="H21" s="1"/>
      <c r="I21" s="1"/>
      <c r="J21" s="1"/>
      <c r="K21" s="1"/>
    </row>
    <row r="22" spans="1:11" ht="41.4">
      <c r="A22" s="4"/>
      <c r="C22" s="4" t="s">
        <v>221</v>
      </c>
      <c r="D22" s="4" t="s">
        <v>222</v>
      </c>
      <c r="E22" s="4" t="s">
        <v>223</v>
      </c>
      <c r="F22" s="1"/>
      <c r="G22" s="4" t="s">
        <v>224</v>
      </c>
      <c r="H22" s="1"/>
      <c r="I22" s="1"/>
      <c r="J22" s="1"/>
      <c r="K22" s="1"/>
    </row>
    <row r="23" spans="1:11" ht="27.6">
      <c r="A23" s="4"/>
      <c r="C23" s="4" t="s">
        <v>225</v>
      </c>
      <c r="D23" s="4" t="s">
        <v>196</v>
      </c>
      <c r="E23" s="4" t="s">
        <v>226</v>
      </c>
      <c r="F23" s="1"/>
      <c r="G23" s="4" t="s">
        <v>227</v>
      </c>
      <c r="H23" s="1"/>
      <c r="I23" s="1"/>
      <c r="J23" s="1"/>
      <c r="K23" s="1"/>
    </row>
    <row r="24" spans="1:11" ht="41.4">
      <c r="A24" s="4"/>
      <c r="C24" s="4" t="s">
        <v>228</v>
      </c>
      <c r="D24" s="4" t="s">
        <v>196</v>
      </c>
      <c r="E24" s="4" t="s">
        <v>229</v>
      </c>
      <c r="F24" s="1"/>
      <c r="G24" s="4" t="s">
        <v>230</v>
      </c>
      <c r="H24" s="1"/>
      <c r="I24" s="1"/>
      <c r="J24" s="1"/>
      <c r="K24" s="1"/>
    </row>
    <row r="25" spans="1:11" ht="27.6">
      <c r="A25" s="4"/>
      <c r="C25" s="4" t="s">
        <v>238</v>
      </c>
      <c r="D25" s="4" t="s">
        <v>231</v>
      </c>
      <c r="E25" s="4" t="s">
        <v>232</v>
      </c>
      <c r="F25" s="1"/>
      <c r="G25" s="4" t="s">
        <v>239</v>
      </c>
      <c r="H25" s="1"/>
      <c r="I25" s="1"/>
      <c r="J25" s="1"/>
      <c r="K25" s="1"/>
    </row>
    <row r="26" spans="1:11" ht="27.6">
      <c r="A26" s="4"/>
      <c r="C26" s="4" t="s">
        <v>233</v>
      </c>
      <c r="D26" s="4" t="s">
        <v>234</v>
      </c>
      <c r="E26" s="4" t="s">
        <v>235</v>
      </c>
      <c r="F26" s="1"/>
      <c r="G26" s="4" t="s">
        <v>236</v>
      </c>
      <c r="H26" s="1"/>
      <c r="I26" s="1"/>
      <c r="J26" s="1"/>
      <c r="K26" s="1"/>
    </row>
    <row r="28" spans="1:11">
      <c r="A28" s="26" t="s">
        <v>241</v>
      </c>
      <c r="B28" s="26"/>
      <c r="C28" s="26"/>
      <c r="D28" s="26"/>
      <c r="E28" s="26"/>
      <c r="F28" s="26"/>
      <c r="G28" s="26"/>
      <c r="H28" s="26"/>
      <c r="I28" s="26"/>
      <c r="J28" s="26"/>
      <c r="K28" s="26"/>
    </row>
    <row r="29" spans="1:11" ht="41.4">
      <c r="B29" s="4" t="s">
        <v>321</v>
      </c>
      <c r="C29" s="4" t="s">
        <v>242</v>
      </c>
      <c r="D29" s="4" t="s">
        <v>243</v>
      </c>
      <c r="E29" s="4" t="s">
        <v>244</v>
      </c>
      <c r="G29" s="4" t="s">
        <v>245</v>
      </c>
    </row>
    <row r="30" spans="1:11" ht="41.4">
      <c r="B30" s="4"/>
      <c r="C30" s="4" t="s">
        <v>246</v>
      </c>
      <c r="D30" s="4" t="s">
        <v>247</v>
      </c>
      <c r="E30" s="4" t="s">
        <v>248</v>
      </c>
      <c r="G30" s="4" t="s">
        <v>249</v>
      </c>
    </row>
    <row r="31" spans="1:11" ht="27.6">
      <c r="B31" s="4"/>
      <c r="C31" s="4" t="s">
        <v>246</v>
      </c>
      <c r="D31" s="4" t="s">
        <v>247</v>
      </c>
      <c r="E31" s="4" t="s">
        <v>248</v>
      </c>
      <c r="G31" s="4" t="s">
        <v>322</v>
      </c>
    </row>
    <row r="32" spans="1:11" ht="41.4">
      <c r="B32" s="4"/>
      <c r="C32" s="4" t="s">
        <v>250</v>
      </c>
      <c r="D32" s="4" t="s">
        <v>251</v>
      </c>
      <c r="E32" s="4" t="s">
        <v>252</v>
      </c>
      <c r="G32" s="4" t="s">
        <v>253</v>
      </c>
    </row>
    <row r="33" spans="2:7" ht="41.4">
      <c r="B33" s="4"/>
      <c r="C33" s="4" t="s">
        <v>254</v>
      </c>
      <c r="D33" s="4" t="s">
        <v>251</v>
      </c>
      <c r="E33" s="4" t="s">
        <v>252</v>
      </c>
      <c r="G33" s="4" t="s">
        <v>255</v>
      </c>
    </row>
    <row r="34" spans="2:7" ht="40.799999999999997">
      <c r="B34" s="4"/>
      <c r="C34" s="4" t="s">
        <v>256</v>
      </c>
      <c r="D34" s="4" t="s">
        <v>257</v>
      </c>
      <c r="E34" s="4" t="s">
        <v>252</v>
      </c>
      <c r="G34" s="4" t="s">
        <v>258</v>
      </c>
    </row>
    <row r="35" spans="2:7" ht="41.4">
      <c r="B35" s="4"/>
      <c r="C35" s="4" t="s">
        <v>259</v>
      </c>
      <c r="D35" s="4" t="s">
        <v>260</v>
      </c>
      <c r="E35" s="4" t="s">
        <v>261</v>
      </c>
      <c r="G35" s="4" t="s">
        <v>262</v>
      </c>
    </row>
    <row r="36" spans="2:7" ht="41.4">
      <c r="B36" s="4"/>
      <c r="C36" s="4" t="s">
        <v>263</v>
      </c>
      <c r="D36" s="4" t="s">
        <v>264</v>
      </c>
      <c r="E36" s="4" t="s">
        <v>265</v>
      </c>
      <c r="G36" s="4" t="s">
        <v>266</v>
      </c>
    </row>
    <row r="37" spans="2:7" ht="41.4">
      <c r="B37" s="4"/>
      <c r="C37" s="4" t="s">
        <v>267</v>
      </c>
      <c r="D37" s="4" t="s">
        <v>268</v>
      </c>
      <c r="E37" s="4" t="s">
        <v>269</v>
      </c>
      <c r="G37" s="4" t="s">
        <v>270</v>
      </c>
    </row>
    <row r="38" spans="2:7" ht="27.6">
      <c r="B38" s="4"/>
      <c r="C38" s="4" t="s">
        <v>271</v>
      </c>
      <c r="D38" s="4" t="s">
        <v>272</v>
      </c>
      <c r="E38" s="4" t="s">
        <v>273</v>
      </c>
      <c r="G38" s="4" t="s">
        <v>274</v>
      </c>
    </row>
    <row r="39" spans="2:7" ht="41.4">
      <c r="B39" s="4"/>
      <c r="C39" s="4" t="s">
        <v>275</v>
      </c>
      <c r="D39" s="4" t="s">
        <v>276</v>
      </c>
      <c r="E39" s="4" t="s">
        <v>277</v>
      </c>
      <c r="G39" s="4" t="s">
        <v>278</v>
      </c>
    </row>
    <row r="40" spans="2:7" ht="41.4">
      <c r="B40" s="4"/>
      <c r="C40" s="4" t="s">
        <v>279</v>
      </c>
      <c r="D40" s="4" t="s">
        <v>276</v>
      </c>
      <c r="E40" s="4" t="s">
        <v>280</v>
      </c>
      <c r="G40" s="4" t="s">
        <v>281</v>
      </c>
    </row>
    <row r="41" spans="2:7" ht="41.4">
      <c r="B41" s="4"/>
      <c r="C41" s="4" t="s">
        <v>282</v>
      </c>
      <c r="D41" s="4" t="s">
        <v>283</v>
      </c>
      <c r="E41" s="4" t="s">
        <v>284</v>
      </c>
      <c r="G41" s="4" t="s">
        <v>285</v>
      </c>
    </row>
    <row r="43" spans="2:7" ht="55.2">
      <c r="B43" s="4" t="s">
        <v>320</v>
      </c>
      <c r="C43" s="4" t="s">
        <v>286</v>
      </c>
      <c r="D43" s="4" t="s">
        <v>287</v>
      </c>
      <c r="E43" s="4" t="s">
        <v>288</v>
      </c>
      <c r="G43" s="4" t="s">
        <v>319</v>
      </c>
    </row>
    <row r="44" spans="2:7" ht="27.6">
      <c r="B44" s="4"/>
      <c r="C44" s="4" t="s">
        <v>289</v>
      </c>
      <c r="D44" s="4" t="s">
        <v>290</v>
      </c>
      <c r="E44" s="4" t="s">
        <v>291</v>
      </c>
      <c r="G44" s="4" t="s">
        <v>318</v>
      </c>
    </row>
    <row r="45" spans="2:7" ht="27.6">
      <c r="B45" s="4"/>
      <c r="C45" s="4" t="s">
        <v>292</v>
      </c>
      <c r="D45" s="4" t="s">
        <v>290</v>
      </c>
      <c r="E45" s="4" t="s">
        <v>293</v>
      </c>
      <c r="G45" s="4" t="s">
        <v>294</v>
      </c>
    </row>
    <row r="46" spans="2:7" ht="27.6">
      <c r="B46" s="4"/>
      <c r="C46" s="4" t="s">
        <v>295</v>
      </c>
      <c r="D46" s="4" t="s">
        <v>290</v>
      </c>
      <c r="E46" s="4" t="s">
        <v>296</v>
      </c>
      <c r="G46" s="4" t="s">
        <v>297</v>
      </c>
    </row>
    <row r="47" spans="2:7" ht="41.4">
      <c r="B47" s="4"/>
      <c r="C47" s="4" t="s">
        <v>298</v>
      </c>
      <c r="D47" s="4" t="s">
        <v>299</v>
      </c>
      <c r="E47" s="4" t="s">
        <v>300</v>
      </c>
      <c r="G47" s="4" t="s">
        <v>301</v>
      </c>
    </row>
    <row r="48" spans="2:7" ht="41.4">
      <c r="B48" s="4"/>
      <c r="C48" s="4" t="s">
        <v>302</v>
      </c>
      <c r="D48" s="4" t="s">
        <v>303</v>
      </c>
      <c r="E48" s="4" t="s">
        <v>304</v>
      </c>
      <c r="G48" s="4" t="s">
        <v>305</v>
      </c>
    </row>
    <row r="49" spans="1:11" ht="27.6">
      <c r="B49" s="4"/>
      <c r="C49" s="4" t="s">
        <v>306</v>
      </c>
      <c r="D49" s="4" t="s">
        <v>307</v>
      </c>
      <c r="E49" s="4" t="s">
        <v>308</v>
      </c>
      <c r="G49" s="4" t="s">
        <v>309</v>
      </c>
    </row>
    <row r="50" spans="1:11" ht="27.6">
      <c r="B50" s="4"/>
      <c r="C50" s="4" t="s">
        <v>310</v>
      </c>
      <c r="D50" s="4" t="s">
        <v>311</v>
      </c>
      <c r="E50" s="4" t="s">
        <v>312</v>
      </c>
      <c r="G50" s="4" t="s">
        <v>313</v>
      </c>
    </row>
    <row r="51" spans="1:11" ht="27.6">
      <c r="B51" s="4"/>
      <c r="C51" s="4" t="s">
        <v>314</v>
      </c>
      <c r="D51" s="4" t="s">
        <v>315</v>
      </c>
      <c r="E51" s="4" t="s">
        <v>316</v>
      </c>
      <c r="G51" s="4" t="s">
        <v>317</v>
      </c>
    </row>
    <row r="53" spans="1:11" ht="27.6">
      <c r="B53" s="4"/>
      <c r="C53" s="4" t="s">
        <v>323</v>
      </c>
      <c r="D53" s="4" t="s">
        <v>324</v>
      </c>
      <c r="E53" s="4" t="s">
        <v>252</v>
      </c>
      <c r="G53" s="4" t="s">
        <v>345</v>
      </c>
    </row>
    <row r="54" spans="1:11" ht="27.6">
      <c r="B54" s="4"/>
      <c r="C54" s="4" t="s">
        <v>325</v>
      </c>
      <c r="D54" s="4" t="s">
        <v>326</v>
      </c>
      <c r="E54" s="4" t="s">
        <v>252</v>
      </c>
      <c r="G54" s="4" t="s">
        <v>344</v>
      </c>
    </row>
    <row r="55" spans="1:11" ht="27.6">
      <c r="B55" s="4"/>
      <c r="C55" s="4" t="s">
        <v>327</v>
      </c>
      <c r="D55" s="4" t="s">
        <v>328</v>
      </c>
      <c r="E55" s="4" t="s">
        <v>329</v>
      </c>
      <c r="G55" s="4" t="s">
        <v>346</v>
      </c>
    </row>
    <row r="56" spans="1:11" ht="27.6">
      <c r="B56" s="4"/>
      <c r="C56" s="4" t="s">
        <v>330</v>
      </c>
      <c r="D56" s="4" t="s">
        <v>331</v>
      </c>
      <c r="E56" s="4" t="s">
        <v>329</v>
      </c>
      <c r="G56" s="4" t="s">
        <v>332</v>
      </c>
    </row>
    <row r="57" spans="1:11" ht="41.4">
      <c r="B57" s="4"/>
      <c r="C57" s="4" t="s">
        <v>333</v>
      </c>
      <c r="D57" s="4" t="s">
        <v>334</v>
      </c>
      <c r="E57" s="4" t="s">
        <v>329</v>
      </c>
      <c r="G57" s="4" t="s">
        <v>335</v>
      </c>
    </row>
    <row r="58" spans="1:11" ht="27.6">
      <c r="B58" s="4"/>
      <c r="C58" s="4" t="s">
        <v>336</v>
      </c>
      <c r="D58" s="4" t="s">
        <v>337</v>
      </c>
      <c r="E58" s="4" t="s">
        <v>338</v>
      </c>
      <c r="G58" s="4" t="s">
        <v>339</v>
      </c>
    </row>
    <row r="59" spans="1:11" ht="41.4">
      <c r="B59" s="4"/>
      <c r="C59" s="4" t="s">
        <v>340</v>
      </c>
      <c r="D59" s="4" t="s">
        <v>341</v>
      </c>
      <c r="E59" s="4" t="s">
        <v>342</v>
      </c>
      <c r="G59" s="4" t="s">
        <v>343</v>
      </c>
    </row>
    <row r="60" spans="1:11">
      <c r="A60" s="26" t="s">
        <v>347</v>
      </c>
      <c r="B60" s="26"/>
      <c r="C60" s="26"/>
      <c r="D60" s="26"/>
      <c r="E60" s="26"/>
      <c r="F60" s="26"/>
      <c r="G60" s="26"/>
      <c r="H60" s="26"/>
      <c r="I60" s="26"/>
      <c r="J60" s="26"/>
      <c r="K60" s="26"/>
    </row>
    <row r="61" spans="1:11" ht="41.4">
      <c r="B61" s="4"/>
      <c r="C61" s="4" t="s">
        <v>348</v>
      </c>
      <c r="D61" s="4" t="s">
        <v>349</v>
      </c>
      <c r="E61" s="4" t="s">
        <v>350</v>
      </c>
      <c r="G61" s="4" t="s">
        <v>351</v>
      </c>
    </row>
    <row r="62" spans="1:11" ht="27.6">
      <c r="B62" s="4"/>
      <c r="C62" s="4" t="s">
        <v>352</v>
      </c>
      <c r="D62" s="4" t="s">
        <v>353</v>
      </c>
      <c r="E62" s="4" t="s">
        <v>354</v>
      </c>
      <c r="G62" s="4" t="s">
        <v>421</v>
      </c>
    </row>
    <row r="63" spans="1:11" ht="41.4">
      <c r="B63" s="4"/>
      <c r="C63" s="4" t="s">
        <v>355</v>
      </c>
      <c r="D63" s="4" t="s">
        <v>356</v>
      </c>
      <c r="E63" s="4" t="s">
        <v>357</v>
      </c>
      <c r="G63" s="4" t="s">
        <v>358</v>
      </c>
    </row>
    <row r="64" spans="1:11" ht="41.4">
      <c r="B64" s="4"/>
      <c r="C64" s="4" t="s">
        <v>359</v>
      </c>
      <c r="D64" s="4" t="s">
        <v>360</v>
      </c>
      <c r="E64" s="4" t="s">
        <v>361</v>
      </c>
      <c r="G64" s="4" t="s">
        <v>362</v>
      </c>
    </row>
    <row r="65" spans="2:7" ht="27.6">
      <c r="B65" s="4"/>
      <c r="C65" s="4" t="s">
        <v>363</v>
      </c>
      <c r="D65" s="4" t="s">
        <v>364</v>
      </c>
      <c r="E65" s="4" t="s">
        <v>365</v>
      </c>
      <c r="G65" s="4" t="s">
        <v>366</v>
      </c>
    </row>
    <row r="66" spans="2:7" ht="55.2">
      <c r="B66" s="4"/>
      <c r="C66" s="4" t="s">
        <v>367</v>
      </c>
      <c r="D66" s="4" t="s">
        <v>368</v>
      </c>
      <c r="E66" s="4" t="s">
        <v>369</v>
      </c>
      <c r="G66" s="4" t="s">
        <v>422</v>
      </c>
    </row>
    <row r="67" spans="2:7" ht="41.4">
      <c r="B67" s="4"/>
      <c r="C67" s="4" t="s">
        <v>370</v>
      </c>
      <c r="D67" s="4" t="s">
        <v>371</v>
      </c>
      <c r="E67" s="4" t="s">
        <v>372</v>
      </c>
      <c r="G67" s="4" t="s">
        <v>373</v>
      </c>
    </row>
    <row r="68" spans="2:7" ht="41.4">
      <c r="B68" s="4"/>
      <c r="C68" s="4" t="s">
        <v>374</v>
      </c>
      <c r="D68" s="4" t="s">
        <v>375</v>
      </c>
      <c r="E68" s="4" t="s">
        <v>376</v>
      </c>
      <c r="G68" s="4" t="s">
        <v>377</v>
      </c>
    </row>
    <row r="69" spans="2:7" ht="41.4">
      <c r="B69" s="4"/>
      <c r="C69" s="4" t="s">
        <v>378</v>
      </c>
      <c r="D69" s="4" t="s">
        <v>379</v>
      </c>
      <c r="E69" s="4" t="s">
        <v>380</v>
      </c>
      <c r="G69" s="4" t="s">
        <v>381</v>
      </c>
    </row>
    <row r="70" spans="2:7" ht="41.4">
      <c r="B70" s="4"/>
      <c r="C70" s="4" t="s">
        <v>382</v>
      </c>
      <c r="D70" s="4" t="s">
        <v>383</v>
      </c>
      <c r="E70" s="4" t="s">
        <v>384</v>
      </c>
      <c r="G70" s="4" t="s">
        <v>385</v>
      </c>
    </row>
    <row r="71" spans="2:7" ht="41.4">
      <c r="B71" s="4"/>
      <c r="C71" s="4" t="s">
        <v>386</v>
      </c>
      <c r="D71" s="4" t="s">
        <v>387</v>
      </c>
      <c r="E71" s="4" t="s">
        <v>388</v>
      </c>
      <c r="G71" s="4" t="s">
        <v>389</v>
      </c>
    </row>
    <row r="72" spans="2:7" ht="27.6">
      <c r="B72" s="4"/>
      <c r="C72" s="4" t="s">
        <v>390</v>
      </c>
      <c r="D72" s="4" t="s">
        <v>391</v>
      </c>
      <c r="E72" s="4" t="s">
        <v>392</v>
      </c>
      <c r="G72" s="4" t="s">
        <v>393</v>
      </c>
    </row>
    <row r="73" spans="2:7" ht="27.6">
      <c r="B73" s="4"/>
      <c r="C73" s="4" t="s">
        <v>394</v>
      </c>
      <c r="D73" s="4" t="s">
        <v>395</v>
      </c>
      <c r="E73" s="4" t="s">
        <v>396</v>
      </c>
      <c r="G73" s="4" t="s">
        <v>397</v>
      </c>
    </row>
    <row r="74" spans="2:7" ht="41.4">
      <c r="B74" s="4"/>
      <c r="C74" s="4" t="s">
        <v>398</v>
      </c>
      <c r="D74" s="4" t="s">
        <v>399</v>
      </c>
      <c r="E74" s="4" t="s">
        <v>400</v>
      </c>
      <c r="G74" s="4" t="s">
        <v>401</v>
      </c>
    </row>
    <row r="75" spans="2:7" ht="41.4">
      <c r="B75" s="4"/>
      <c r="C75" s="4" t="s">
        <v>402</v>
      </c>
      <c r="D75" s="4" t="s">
        <v>403</v>
      </c>
      <c r="E75" s="4" t="s">
        <v>404</v>
      </c>
      <c r="G75" s="4" t="s">
        <v>405</v>
      </c>
    </row>
    <row r="76" spans="2:7" ht="27.6">
      <c r="B76" s="4"/>
      <c r="C76" s="4" t="s">
        <v>406</v>
      </c>
      <c r="D76" s="4" t="s">
        <v>407</v>
      </c>
      <c r="E76" s="4" t="s">
        <v>408</v>
      </c>
      <c r="G76" s="4" t="s">
        <v>409</v>
      </c>
    </row>
    <row r="77" spans="2:7" ht="27.6">
      <c r="B77" s="4"/>
      <c r="C77" s="4" t="s">
        <v>410</v>
      </c>
      <c r="D77" s="4" t="s">
        <v>411</v>
      </c>
      <c r="E77" s="4" t="s">
        <v>412</v>
      </c>
      <c r="G77" s="4" t="s">
        <v>413</v>
      </c>
    </row>
    <row r="78" spans="2:7" ht="41.4">
      <c r="B78" s="4"/>
      <c r="C78" s="4" t="s">
        <v>414</v>
      </c>
      <c r="D78" s="4" t="s">
        <v>415</v>
      </c>
      <c r="E78" s="4" t="s">
        <v>416</v>
      </c>
      <c r="G78" s="4" t="s">
        <v>417</v>
      </c>
    </row>
    <row r="79" spans="2:7" ht="41.4">
      <c r="B79" s="4"/>
      <c r="C79" s="4" t="s">
        <v>418</v>
      </c>
      <c r="D79" s="4" t="s">
        <v>419</v>
      </c>
      <c r="E79" s="4" t="s">
        <v>420</v>
      </c>
      <c r="G79" s="4" t="s">
        <v>423</v>
      </c>
    </row>
    <row r="80" spans="2:7" ht="27.6">
      <c r="C80" s="4" t="s">
        <v>427</v>
      </c>
      <c r="D80" s="4" t="s">
        <v>424</v>
      </c>
      <c r="E80" s="4" t="s">
        <v>425</v>
      </c>
      <c r="G80" s="4" t="s">
        <v>426</v>
      </c>
    </row>
    <row r="82" spans="2:7" ht="27.6">
      <c r="B82" s="4"/>
      <c r="C82" s="4" t="s">
        <v>428</v>
      </c>
      <c r="D82" s="4" t="s">
        <v>429</v>
      </c>
      <c r="E82" s="4" t="s">
        <v>430</v>
      </c>
      <c r="G82" s="4" t="s">
        <v>431</v>
      </c>
    </row>
    <row r="83" spans="2:7" ht="27.6">
      <c r="B83" s="4"/>
      <c r="C83" s="4" t="s">
        <v>432</v>
      </c>
      <c r="D83" s="4" t="s">
        <v>433</v>
      </c>
      <c r="E83" s="4" t="s">
        <v>434</v>
      </c>
      <c r="G83" s="4" t="s">
        <v>435</v>
      </c>
    </row>
    <row r="84" spans="2:7" ht="27.6">
      <c r="B84" s="4"/>
      <c r="C84" s="4" t="s">
        <v>436</v>
      </c>
      <c r="D84" s="4" t="s">
        <v>433</v>
      </c>
      <c r="E84" s="4" t="s">
        <v>437</v>
      </c>
      <c r="G84" s="4" t="s">
        <v>438</v>
      </c>
    </row>
    <row r="85" spans="2:7" ht="27.6">
      <c r="B85" s="4"/>
      <c r="C85" s="4" t="s">
        <v>439</v>
      </c>
      <c r="D85" s="4" t="s">
        <v>440</v>
      </c>
      <c r="E85" s="4" t="s">
        <v>441</v>
      </c>
      <c r="G85" s="4" t="s">
        <v>455</v>
      </c>
    </row>
    <row r="86" spans="2:7" ht="27.6">
      <c r="B86" s="4"/>
      <c r="C86" s="4" t="s">
        <v>442</v>
      </c>
      <c r="D86" s="4" t="s">
        <v>440</v>
      </c>
      <c r="E86" s="4" t="s">
        <v>443</v>
      </c>
      <c r="G86" s="4" t="s">
        <v>444</v>
      </c>
    </row>
    <row r="87" spans="2:7" ht="27.6">
      <c r="B87" s="4"/>
      <c r="C87" s="4" t="s">
        <v>445</v>
      </c>
      <c r="D87" s="4" t="s">
        <v>446</v>
      </c>
      <c r="E87" s="4" t="s">
        <v>376</v>
      </c>
      <c r="G87" s="4" t="s">
        <v>456</v>
      </c>
    </row>
    <row r="88" spans="2:7" ht="27.6">
      <c r="B88" s="4"/>
      <c r="C88" s="4" t="s">
        <v>447</v>
      </c>
      <c r="D88" s="4" t="s">
        <v>448</v>
      </c>
      <c r="E88" s="4" t="s">
        <v>449</v>
      </c>
      <c r="G88" s="4" t="s">
        <v>450</v>
      </c>
    </row>
    <row r="89" spans="2:7" ht="41.4">
      <c r="B89" s="4"/>
      <c r="C89" s="4" t="s">
        <v>451</v>
      </c>
      <c r="D89" s="4" t="s">
        <v>452</v>
      </c>
      <c r="E89" s="4" t="s">
        <v>453</v>
      </c>
      <c r="G89" s="4" t="s">
        <v>454</v>
      </c>
    </row>
  </sheetData>
  <dataConsolidate/>
  <mergeCells count="9">
    <mergeCell ref="A28:K28"/>
    <mergeCell ref="A60:K60"/>
    <mergeCell ref="A10:K10"/>
    <mergeCell ref="A11:K11"/>
    <mergeCell ref="A1:E3"/>
    <mergeCell ref="A4:C4"/>
    <mergeCell ref="A5:C5"/>
    <mergeCell ref="A6:C6"/>
    <mergeCell ref="A7:C7"/>
  </mergeCells>
  <dataValidations count="1">
    <dataValidation type="custom" allowBlank="1" showInputMessage="1" showErrorMessage="1" sqref="H12" xr:uid="{9969C3E2-FFA0-4E46-8DEA-3E282E475A6A}">
      <formula1>"PASS"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F770-64FF-43FB-A637-EE8B9AE0A430}">
  <dimension ref="A1:K9"/>
  <sheetViews>
    <sheetView workbookViewId="0">
      <selection activeCell="E23" sqref="E23"/>
    </sheetView>
  </sheetViews>
  <sheetFormatPr defaultRowHeight="13.8"/>
  <cols>
    <col min="1" max="1" width="16.19921875" customWidth="1"/>
    <col min="2" max="2" width="24.296875" customWidth="1"/>
    <col min="3" max="3" width="16.3984375" customWidth="1"/>
    <col min="4" max="4" width="23.19921875" customWidth="1"/>
    <col min="5" max="5" width="53.59765625" customWidth="1"/>
    <col min="6" max="6" width="23.3984375" customWidth="1"/>
    <col min="7" max="7" width="28" customWidth="1"/>
    <col min="8" max="8" width="13.3984375" customWidth="1"/>
    <col min="9" max="9" width="19.09765625" customWidth="1"/>
    <col min="10" max="10" width="23.3984375" customWidth="1"/>
    <col min="11" max="11" width="29.3984375" customWidth="1"/>
  </cols>
  <sheetData>
    <row r="1" spans="1:11">
      <c r="A1" s="12" t="s">
        <v>0</v>
      </c>
      <c r="B1" s="13"/>
      <c r="C1" s="13"/>
      <c r="D1" s="13"/>
      <c r="E1" s="14"/>
      <c r="F1" s="1"/>
      <c r="G1" s="1"/>
      <c r="H1" s="1"/>
      <c r="I1" s="1"/>
      <c r="J1" s="1"/>
      <c r="K1" s="1"/>
    </row>
    <row r="2" spans="1:11">
      <c r="A2" s="15"/>
      <c r="B2" s="16"/>
      <c r="C2" s="16"/>
      <c r="D2" s="16"/>
      <c r="E2" s="17"/>
      <c r="F2" s="1"/>
      <c r="G2" s="1"/>
      <c r="H2" s="1"/>
      <c r="I2" s="1"/>
      <c r="J2" s="1"/>
      <c r="K2" s="1"/>
    </row>
    <row r="3" spans="1:11">
      <c r="A3" s="18"/>
      <c r="B3" s="19"/>
      <c r="C3" s="19"/>
      <c r="D3" s="19"/>
      <c r="E3" s="20"/>
      <c r="F3" s="1"/>
      <c r="G3" s="1"/>
      <c r="H3" s="1"/>
      <c r="I3" s="1"/>
      <c r="J3" s="1"/>
      <c r="K3" s="1"/>
    </row>
    <row r="4" spans="1:11">
      <c r="A4" s="21" t="s">
        <v>1</v>
      </c>
      <c r="B4" s="22"/>
      <c r="C4" s="23"/>
      <c r="D4" s="2" t="s">
        <v>2</v>
      </c>
      <c r="E4" s="3">
        <f>COUNTIF(H12:H419,"PASS")</f>
        <v>0</v>
      </c>
      <c r="F4" s="4"/>
      <c r="G4" s="4"/>
      <c r="H4" s="4"/>
      <c r="I4" s="4"/>
      <c r="J4" s="4"/>
      <c r="K4" s="4"/>
    </row>
    <row r="5" spans="1:11">
      <c r="A5" s="21" t="s">
        <v>3</v>
      </c>
      <c r="B5" s="22"/>
      <c r="C5" s="23"/>
      <c r="D5" s="2"/>
      <c r="E5" s="3">
        <f>COUNTIF(H12:H419,"FAIL")</f>
        <v>0</v>
      </c>
      <c r="F5" s="4"/>
      <c r="G5" s="4"/>
      <c r="H5" s="4"/>
      <c r="I5" s="4"/>
      <c r="J5" s="4"/>
      <c r="K5" s="4"/>
    </row>
    <row r="6" spans="1:11">
      <c r="A6" s="21" t="s">
        <v>4</v>
      </c>
      <c r="B6" s="22"/>
      <c r="C6" s="23"/>
      <c r="D6" s="2"/>
      <c r="E6" s="3">
        <f>COUNTIF(H12:H419,"Pending")</f>
        <v>0</v>
      </c>
      <c r="G6" s="4"/>
      <c r="H6" s="4"/>
      <c r="I6" s="4"/>
      <c r="J6" s="4"/>
      <c r="K6" s="4"/>
    </row>
    <row r="7" spans="1:11">
      <c r="A7" s="21" t="s">
        <v>5</v>
      </c>
      <c r="B7" s="22"/>
      <c r="C7" s="23"/>
      <c r="D7" s="2"/>
      <c r="E7" s="3">
        <f>COUNTA(H12:H419)</f>
        <v>0</v>
      </c>
      <c r="F7" s="4"/>
      <c r="G7" s="4"/>
      <c r="H7" s="4"/>
      <c r="I7" s="4"/>
      <c r="J7" s="4"/>
      <c r="K7" s="4"/>
    </row>
    <row r="8" spans="1:11">
      <c r="A8" s="5"/>
      <c r="B8" s="6"/>
      <c r="C8" s="6"/>
      <c r="D8" s="6"/>
      <c r="E8" s="6"/>
      <c r="F8" s="7"/>
      <c r="G8" s="7"/>
      <c r="H8" s="7"/>
      <c r="I8" s="7"/>
      <c r="J8" s="7"/>
      <c r="K8" s="7"/>
    </row>
    <row r="9" spans="1:11" ht="37.799999999999997">
      <c r="A9" s="8" t="s">
        <v>6</v>
      </c>
      <c r="B9" s="8" t="s">
        <v>7</v>
      </c>
      <c r="C9" s="8" t="s">
        <v>8</v>
      </c>
      <c r="D9" s="8" t="s">
        <v>9</v>
      </c>
      <c r="E9" s="8" t="s">
        <v>10</v>
      </c>
      <c r="F9" s="8" t="s">
        <v>11</v>
      </c>
      <c r="G9" s="8" t="s">
        <v>12</v>
      </c>
      <c r="H9" s="8" t="s">
        <v>13</v>
      </c>
      <c r="I9" s="8" t="s">
        <v>14</v>
      </c>
      <c r="J9" s="8" t="s">
        <v>15</v>
      </c>
      <c r="K9" s="9" t="s">
        <v>16</v>
      </c>
    </row>
  </sheetData>
  <mergeCells count="5">
    <mergeCell ref="A1:E3"/>
    <mergeCell ref="A4:C4"/>
    <mergeCell ref="A5:C5"/>
    <mergeCell ref="A6:C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DE61-FB8D-44EC-B314-9E7676F17022}">
  <dimension ref="A1:K77"/>
  <sheetViews>
    <sheetView topLeftCell="A67" zoomScale="85" zoomScaleNormal="85" workbookViewId="0">
      <selection activeCell="F73" sqref="F73"/>
    </sheetView>
  </sheetViews>
  <sheetFormatPr defaultRowHeight="13.8"/>
  <cols>
    <col min="1" max="1" width="16.19921875" customWidth="1"/>
    <col min="2" max="2" width="24.296875" customWidth="1"/>
    <col min="3" max="3" width="16.3984375" customWidth="1"/>
    <col min="4" max="4" width="23.19921875" customWidth="1"/>
    <col min="5" max="5" width="53.59765625" customWidth="1"/>
    <col min="6" max="6" width="23.3984375" customWidth="1"/>
    <col min="7" max="7" width="27.8984375" customWidth="1"/>
    <col min="8" max="8" width="13.3984375" customWidth="1"/>
    <col min="9" max="9" width="19.09765625" customWidth="1"/>
    <col min="10" max="10" width="23.3984375" customWidth="1"/>
    <col min="11" max="11" width="29.3984375" customWidth="1"/>
  </cols>
  <sheetData>
    <row r="1" spans="1:11">
      <c r="A1" s="12" t="s">
        <v>0</v>
      </c>
      <c r="B1" s="13"/>
      <c r="C1" s="13"/>
      <c r="D1" s="13"/>
      <c r="E1" s="14"/>
      <c r="F1" s="1"/>
      <c r="G1" s="1"/>
      <c r="H1" s="1"/>
      <c r="I1" s="1"/>
      <c r="J1" s="1"/>
      <c r="K1" s="1"/>
    </row>
    <row r="2" spans="1:11">
      <c r="A2" s="15"/>
      <c r="B2" s="16"/>
      <c r="C2" s="16"/>
      <c r="D2" s="16"/>
      <c r="E2" s="17"/>
      <c r="F2" s="1"/>
      <c r="G2" s="1"/>
      <c r="H2" s="1"/>
      <c r="I2" s="1"/>
      <c r="J2" s="1"/>
      <c r="K2" s="1"/>
    </row>
    <row r="3" spans="1:11">
      <c r="A3" s="18"/>
      <c r="B3" s="19"/>
      <c r="C3" s="19"/>
      <c r="D3" s="19"/>
      <c r="E3" s="20"/>
      <c r="F3" s="1"/>
      <c r="G3" s="1"/>
      <c r="H3" s="1"/>
      <c r="I3" s="1"/>
      <c r="J3" s="1"/>
      <c r="K3" s="1"/>
    </row>
    <row r="4" spans="1:11">
      <c r="A4" s="21" t="s">
        <v>1</v>
      </c>
      <c r="B4" s="22"/>
      <c r="C4" s="23"/>
      <c r="D4" s="2" t="s">
        <v>2</v>
      </c>
      <c r="E4" s="3">
        <f>COUNTIF(H12:H344,"PASS")</f>
        <v>0</v>
      </c>
      <c r="F4" s="4"/>
      <c r="G4" s="4"/>
      <c r="H4" s="4"/>
      <c r="I4" s="4"/>
      <c r="J4" s="4"/>
      <c r="K4" s="4"/>
    </row>
    <row r="5" spans="1:11">
      <c r="A5" s="21" t="s">
        <v>3</v>
      </c>
      <c r="B5" s="22"/>
      <c r="C5" s="23"/>
      <c r="D5" s="2"/>
      <c r="E5" s="3">
        <f>COUNTIF(H12:H344,"FAIL")</f>
        <v>0</v>
      </c>
      <c r="F5" s="4"/>
      <c r="G5" s="4"/>
      <c r="H5" s="4"/>
      <c r="I5" s="4"/>
      <c r="J5" s="4"/>
      <c r="K5" s="4"/>
    </row>
    <row r="6" spans="1:11">
      <c r="A6" s="21" t="s">
        <v>4</v>
      </c>
      <c r="B6" s="22"/>
      <c r="C6" s="23"/>
      <c r="D6" s="2"/>
      <c r="E6" s="3">
        <f>COUNTIF(H12:H344,"Pending")</f>
        <v>0</v>
      </c>
      <c r="G6" s="4"/>
      <c r="H6" s="4"/>
      <c r="I6" s="4"/>
      <c r="J6" s="4"/>
      <c r="K6" s="4"/>
    </row>
    <row r="7" spans="1:11">
      <c r="A7" s="21" t="s">
        <v>5</v>
      </c>
      <c r="B7" s="22"/>
      <c r="C7" s="23"/>
      <c r="D7" s="2"/>
      <c r="E7" s="3">
        <f>COUNTA(H12:H344)</f>
        <v>0</v>
      </c>
      <c r="F7" s="4"/>
      <c r="G7" s="4"/>
      <c r="H7" s="4"/>
      <c r="I7" s="4"/>
      <c r="J7" s="4"/>
      <c r="K7" s="4"/>
    </row>
    <row r="8" spans="1:11">
      <c r="A8" s="5"/>
      <c r="B8" s="6"/>
      <c r="C8" s="6"/>
      <c r="D8" s="6"/>
      <c r="E8" s="6"/>
      <c r="F8" s="7"/>
      <c r="G8" s="7"/>
      <c r="H8" s="7"/>
      <c r="I8" s="7"/>
      <c r="J8" s="7"/>
      <c r="K8" s="7"/>
    </row>
    <row r="9" spans="1:11" ht="37.799999999999997">
      <c r="A9" s="8" t="s">
        <v>6</v>
      </c>
      <c r="B9" s="8" t="s">
        <v>7</v>
      </c>
      <c r="C9" s="8" t="s">
        <v>8</v>
      </c>
      <c r="D9" s="8" t="s">
        <v>9</v>
      </c>
      <c r="E9" s="8" t="s">
        <v>10</v>
      </c>
      <c r="F9" s="8" t="s">
        <v>11</v>
      </c>
      <c r="G9" s="8" t="s">
        <v>12</v>
      </c>
      <c r="H9" s="8" t="s">
        <v>13</v>
      </c>
      <c r="I9" s="8" t="s">
        <v>14</v>
      </c>
      <c r="J9" s="8" t="s">
        <v>15</v>
      </c>
      <c r="K9" s="9" t="s">
        <v>16</v>
      </c>
    </row>
    <row r="10" spans="1:11" ht="13.8" customHeight="1">
      <c r="A10" s="28" t="s">
        <v>174</v>
      </c>
      <c r="B10" s="28"/>
      <c r="C10" s="28"/>
      <c r="D10" s="28"/>
      <c r="E10" s="28"/>
      <c r="F10" s="28"/>
      <c r="G10" s="28"/>
      <c r="H10" s="28"/>
      <c r="I10" s="28"/>
      <c r="J10" s="28"/>
      <c r="K10" s="28"/>
    </row>
    <row r="11" spans="1:11">
      <c r="A11" s="29"/>
      <c r="B11" s="29"/>
      <c r="C11" s="29"/>
      <c r="D11" s="29"/>
      <c r="E11" s="29"/>
      <c r="F11" s="29"/>
      <c r="G11" s="29"/>
      <c r="H11" s="29"/>
      <c r="I11" s="29"/>
      <c r="J11" s="29"/>
      <c r="K11" s="29"/>
    </row>
    <row r="12" spans="1:11" ht="27.6">
      <c r="A12" s="4"/>
      <c r="B12" s="4" t="s">
        <v>457</v>
      </c>
      <c r="C12" s="4" t="s">
        <v>458</v>
      </c>
      <c r="D12" s="4" t="s">
        <v>459</v>
      </c>
      <c r="E12" s="4" t="s">
        <v>666</v>
      </c>
      <c r="F12" s="4"/>
      <c r="G12" s="4" t="s">
        <v>460</v>
      </c>
      <c r="H12" s="4"/>
      <c r="I12" s="4"/>
      <c r="J12" s="4"/>
      <c r="K12" s="4"/>
    </row>
    <row r="13" spans="1:11" ht="27.6">
      <c r="A13" s="4"/>
      <c r="B13" s="4" t="s">
        <v>457</v>
      </c>
      <c r="C13" s="4" t="s">
        <v>461</v>
      </c>
      <c r="D13" s="4" t="s">
        <v>462</v>
      </c>
      <c r="E13" s="4" t="s">
        <v>463</v>
      </c>
      <c r="F13" s="4"/>
      <c r="G13" s="4" t="s">
        <v>464</v>
      </c>
      <c r="H13" s="4"/>
      <c r="I13" s="4"/>
      <c r="J13" s="4"/>
      <c r="K13" s="4"/>
    </row>
    <row r="14" spans="1:11" ht="41.4">
      <c r="A14" s="4"/>
      <c r="B14" s="4" t="s">
        <v>457</v>
      </c>
      <c r="C14" s="4" t="s">
        <v>465</v>
      </c>
      <c r="D14" s="4" t="s">
        <v>466</v>
      </c>
      <c r="E14" s="4" t="s">
        <v>467</v>
      </c>
      <c r="F14" s="4"/>
      <c r="G14" s="4" t="s">
        <v>468</v>
      </c>
      <c r="H14" s="4"/>
      <c r="I14" s="4"/>
      <c r="J14" s="4"/>
      <c r="K14" s="4"/>
    </row>
    <row r="15" spans="1:11" ht="41.4">
      <c r="A15" s="4"/>
      <c r="B15" s="4" t="s">
        <v>457</v>
      </c>
      <c r="C15" s="4" t="s">
        <v>469</v>
      </c>
      <c r="D15" s="4" t="s">
        <v>470</v>
      </c>
      <c r="E15" s="4" t="s">
        <v>471</v>
      </c>
      <c r="F15" s="4"/>
      <c r="G15" s="4" t="s">
        <v>472</v>
      </c>
      <c r="H15" s="4"/>
      <c r="I15" s="4"/>
      <c r="J15" s="4"/>
      <c r="K15" s="4"/>
    </row>
    <row r="16" spans="1:11" ht="27.6">
      <c r="A16" s="4"/>
      <c r="B16" s="4" t="s">
        <v>457</v>
      </c>
      <c r="C16" s="4" t="s">
        <v>473</v>
      </c>
      <c r="D16" s="4" t="s">
        <v>462</v>
      </c>
      <c r="E16" s="4" t="s">
        <v>474</v>
      </c>
      <c r="F16" s="4"/>
      <c r="G16" s="4" t="s">
        <v>475</v>
      </c>
      <c r="H16" s="4"/>
      <c r="I16" s="4"/>
      <c r="J16" s="4"/>
      <c r="K16" s="4"/>
    </row>
    <row r="17" spans="1:11" ht="41.4">
      <c r="A17" s="4"/>
      <c r="B17" s="4" t="s">
        <v>457</v>
      </c>
      <c r="C17" s="4" t="s">
        <v>476</v>
      </c>
      <c r="D17" s="4" t="s">
        <v>477</v>
      </c>
      <c r="E17" s="4" t="s">
        <v>478</v>
      </c>
      <c r="F17" s="4"/>
      <c r="G17" s="4" t="s">
        <v>479</v>
      </c>
      <c r="H17" s="4"/>
      <c r="I17" s="4"/>
      <c r="J17" s="4"/>
      <c r="K17" s="4"/>
    </row>
    <row r="18" spans="1:11" ht="27.6">
      <c r="A18" s="4"/>
      <c r="B18" s="4" t="s">
        <v>480</v>
      </c>
      <c r="C18" s="4" t="s">
        <v>481</v>
      </c>
      <c r="D18" s="4" t="s">
        <v>482</v>
      </c>
      <c r="E18" s="4" t="s">
        <v>483</v>
      </c>
      <c r="F18" s="4"/>
      <c r="G18" s="4" t="s">
        <v>487</v>
      </c>
      <c r="H18" s="4"/>
      <c r="I18" s="4"/>
      <c r="J18" s="4"/>
      <c r="K18" s="4"/>
    </row>
    <row r="19" spans="1:11" ht="27.6">
      <c r="A19" s="4"/>
      <c r="B19" s="4" t="s">
        <v>480</v>
      </c>
      <c r="C19" s="4" t="s">
        <v>485</v>
      </c>
      <c r="D19" s="4" t="s">
        <v>482</v>
      </c>
      <c r="E19" s="4" t="s">
        <v>486</v>
      </c>
      <c r="F19" s="4"/>
      <c r="G19" s="4" t="s">
        <v>484</v>
      </c>
      <c r="H19" s="4"/>
      <c r="I19" s="4"/>
      <c r="J19" s="4"/>
      <c r="K19" s="4"/>
    </row>
    <row r="20" spans="1:11" ht="27.6">
      <c r="A20" s="4"/>
      <c r="B20" s="4" t="s">
        <v>480</v>
      </c>
      <c r="C20" s="4" t="s">
        <v>488</v>
      </c>
      <c r="D20" s="4" t="s">
        <v>482</v>
      </c>
      <c r="E20" s="4" t="s">
        <v>489</v>
      </c>
      <c r="F20" s="4"/>
      <c r="G20" s="4" t="s">
        <v>490</v>
      </c>
      <c r="H20" s="4"/>
      <c r="I20" s="4"/>
      <c r="J20" s="4"/>
      <c r="K20" s="4"/>
    </row>
    <row r="21" spans="1:11" ht="41.4">
      <c r="A21" s="4"/>
      <c r="B21" s="4" t="s">
        <v>480</v>
      </c>
      <c r="C21" s="4" t="s">
        <v>491</v>
      </c>
      <c r="D21" s="4" t="s">
        <v>492</v>
      </c>
      <c r="E21" s="4" t="s">
        <v>493</v>
      </c>
      <c r="F21" s="4"/>
      <c r="G21" s="4" t="s">
        <v>494</v>
      </c>
      <c r="H21" s="4"/>
      <c r="I21" s="4"/>
      <c r="J21" s="4"/>
      <c r="K21" s="4"/>
    </row>
    <row r="22" spans="1:11" ht="41.4">
      <c r="A22" s="4"/>
      <c r="B22" s="4" t="s">
        <v>480</v>
      </c>
      <c r="C22" s="4" t="s">
        <v>495</v>
      </c>
      <c r="D22" s="4" t="s">
        <v>496</v>
      </c>
      <c r="E22" s="4" t="s">
        <v>497</v>
      </c>
      <c r="F22" s="4"/>
      <c r="G22" s="4" t="s">
        <v>667</v>
      </c>
      <c r="H22" s="4"/>
      <c r="I22" s="4"/>
      <c r="J22" s="4"/>
      <c r="K22" s="4"/>
    </row>
    <row r="23" spans="1:11" ht="27.6">
      <c r="A23" s="4"/>
      <c r="B23" s="4" t="s">
        <v>480</v>
      </c>
      <c r="C23" s="4" t="s">
        <v>498</v>
      </c>
      <c r="D23" s="4" t="s">
        <v>499</v>
      </c>
      <c r="E23" s="4" t="s">
        <v>500</v>
      </c>
      <c r="F23" s="4"/>
      <c r="G23" s="4" t="s">
        <v>501</v>
      </c>
      <c r="H23" s="4"/>
      <c r="I23" s="4"/>
      <c r="J23" s="4"/>
      <c r="K23" s="4"/>
    </row>
    <row r="24" spans="1:11" ht="27.6">
      <c r="A24" s="4"/>
      <c r="B24" s="4" t="s">
        <v>502</v>
      </c>
      <c r="C24" s="4" t="s">
        <v>503</v>
      </c>
      <c r="D24" s="4" t="s">
        <v>504</v>
      </c>
      <c r="E24" s="4" t="s">
        <v>505</v>
      </c>
      <c r="F24" s="4"/>
      <c r="G24" s="4" t="s">
        <v>506</v>
      </c>
      <c r="H24" s="4"/>
      <c r="I24" s="4"/>
      <c r="J24" s="4"/>
      <c r="K24" s="4"/>
    </row>
    <row r="25" spans="1:11" ht="27.6">
      <c r="A25" s="4"/>
      <c r="B25" s="4" t="s">
        <v>502</v>
      </c>
      <c r="C25" s="4" t="s">
        <v>507</v>
      </c>
      <c r="D25" s="4" t="s">
        <v>508</v>
      </c>
      <c r="E25" s="4" t="s">
        <v>509</v>
      </c>
      <c r="F25" s="4"/>
      <c r="G25" s="4" t="s">
        <v>510</v>
      </c>
      <c r="H25" s="4"/>
      <c r="I25" s="4"/>
      <c r="J25" s="4"/>
      <c r="K25" s="4"/>
    </row>
    <row r="26" spans="1:11" ht="27.6">
      <c r="A26" s="4"/>
      <c r="B26" s="4" t="s">
        <v>502</v>
      </c>
      <c r="C26" s="4" t="s">
        <v>511</v>
      </c>
      <c r="D26" s="4" t="s">
        <v>512</v>
      </c>
      <c r="E26" s="4" t="s">
        <v>513</v>
      </c>
      <c r="F26" s="4"/>
      <c r="G26" s="4" t="s">
        <v>668</v>
      </c>
      <c r="H26" s="4"/>
      <c r="I26" s="4"/>
      <c r="J26" s="4"/>
      <c r="K26" s="4"/>
    </row>
    <row r="27" spans="1:11" ht="27.6">
      <c r="A27" s="4"/>
      <c r="B27" s="4" t="s">
        <v>502</v>
      </c>
      <c r="C27" s="4" t="s">
        <v>514</v>
      </c>
      <c r="D27" s="4" t="s">
        <v>515</v>
      </c>
      <c r="E27" s="4" t="s">
        <v>516</v>
      </c>
      <c r="F27" s="4"/>
      <c r="G27" s="4" t="s">
        <v>517</v>
      </c>
      <c r="H27" s="4"/>
      <c r="I27" s="4"/>
      <c r="J27" s="4"/>
      <c r="K27" s="4"/>
    </row>
    <row r="28" spans="1:11" ht="27.6">
      <c r="A28" s="4"/>
      <c r="B28" s="4" t="s">
        <v>502</v>
      </c>
      <c r="C28" s="4" t="s">
        <v>518</v>
      </c>
      <c r="D28" s="4" t="s">
        <v>519</v>
      </c>
      <c r="E28" s="4" t="s">
        <v>520</v>
      </c>
      <c r="F28" s="4"/>
      <c r="G28" s="4" t="s">
        <v>521</v>
      </c>
      <c r="H28" s="4"/>
      <c r="I28" s="4"/>
      <c r="J28" s="4"/>
      <c r="K28" s="4"/>
    </row>
    <row r="29" spans="1:11" ht="27.6">
      <c r="A29" s="4"/>
      <c r="B29" s="4" t="s">
        <v>502</v>
      </c>
      <c r="C29" s="4" t="s">
        <v>522</v>
      </c>
      <c r="D29" s="4" t="s">
        <v>523</v>
      </c>
      <c r="E29" s="4" t="s">
        <v>524</v>
      </c>
      <c r="F29" s="4"/>
      <c r="G29" s="4" t="s">
        <v>525</v>
      </c>
      <c r="H29" s="4"/>
      <c r="I29" s="4"/>
      <c r="J29" s="4"/>
      <c r="K29" s="4"/>
    </row>
    <row r="30" spans="1:11" ht="27.6">
      <c r="A30" s="4"/>
      <c r="B30" s="4" t="s">
        <v>502</v>
      </c>
      <c r="C30" s="4" t="s">
        <v>526</v>
      </c>
      <c r="D30" s="4" t="s">
        <v>527</v>
      </c>
      <c r="E30" s="4" t="s">
        <v>528</v>
      </c>
      <c r="F30" s="4"/>
      <c r="G30" s="4" t="s">
        <v>529</v>
      </c>
      <c r="H30" s="4"/>
      <c r="I30" s="4"/>
      <c r="J30" s="4"/>
      <c r="K30" s="4"/>
    </row>
    <row r="31" spans="1:11" ht="27.6">
      <c r="A31" s="4"/>
      <c r="B31" s="4" t="s">
        <v>502</v>
      </c>
      <c r="C31" s="4" t="s">
        <v>530</v>
      </c>
      <c r="D31" s="4" t="s">
        <v>531</v>
      </c>
      <c r="E31" s="4" t="s">
        <v>528</v>
      </c>
      <c r="F31" s="4"/>
      <c r="G31" s="4" t="s">
        <v>532</v>
      </c>
      <c r="H31" s="4"/>
      <c r="I31" s="4"/>
      <c r="J31" s="4"/>
      <c r="K31" s="4"/>
    </row>
    <row r="32" spans="1:11" ht="27.6">
      <c r="A32" s="4"/>
      <c r="B32" s="4" t="s">
        <v>533</v>
      </c>
      <c r="C32" s="4" t="s">
        <v>534</v>
      </c>
      <c r="D32" s="4" t="s">
        <v>535</v>
      </c>
      <c r="E32" s="4" t="s">
        <v>536</v>
      </c>
      <c r="F32" s="4"/>
      <c r="G32" s="4" t="s">
        <v>537</v>
      </c>
      <c r="H32" s="4"/>
      <c r="I32" s="4"/>
      <c r="J32" s="4"/>
      <c r="K32" s="4"/>
    </row>
    <row r="33" spans="1:11" ht="27.6">
      <c r="A33" s="4"/>
      <c r="B33" s="4" t="s">
        <v>533</v>
      </c>
      <c r="C33" s="4" t="s">
        <v>538</v>
      </c>
      <c r="D33" s="4" t="s">
        <v>539</v>
      </c>
      <c r="E33" s="4" t="s">
        <v>540</v>
      </c>
      <c r="F33" s="4"/>
      <c r="G33" s="4" t="s">
        <v>541</v>
      </c>
      <c r="H33" s="4"/>
      <c r="I33" s="4"/>
      <c r="J33" s="4"/>
      <c r="K33" s="4"/>
    </row>
    <row r="34" spans="1:11" ht="27.6">
      <c r="A34" s="4"/>
      <c r="B34" s="4" t="s">
        <v>533</v>
      </c>
      <c r="C34" s="4" t="s">
        <v>542</v>
      </c>
      <c r="D34" s="4" t="s">
        <v>543</v>
      </c>
      <c r="E34" s="4" t="s">
        <v>544</v>
      </c>
      <c r="F34" s="4"/>
      <c r="G34" s="4" t="s">
        <v>545</v>
      </c>
      <c r="H34" s="4"/>
      <c r="I34" s="4"/>
      <c r="J34" s="4"/>
      <c r="K34" s="4"/>
    </row>
    <row r="35" spans="1:11" ht="27.6">
      <c r="A35" s="4"/>
      <c r="B35" s="4" t="s">
        <v>533</v>
      </c>
      <c r="C35" s="4" t="s">
        <v>546</v>
      </c>
      <c r="D35" s="4" t="s">
        <v>547</v>
      </c>
      <c r="E35" s="4" t="s">
        <v>548</v>
      </c>
      <c r="F35" s="4"/>
      <c r="G35" s="4" t="s">
        <v>549</v>
      </c>
      <c r="H35" s="4"/>
      <c r="I35" s="4"/>
      <c r="J35" s="4"/>
      <c r="K35" s="4"/>
    </row>
    <row r="36" spans="1:11" ht="27.6">
      <c r="A36" s="4"/>
      <c r="B36" s="4" t="s">
        <v>533</v>
      </c>
      <c r="C36" s="4" t="s">
        <v>550</v>
      </c>
      <c r="D36" s="4" t="s">
        <v>551</v>
      </c>
      <c r="E36" s="4" t="s">
        <v>516</v>
      </c>
      <c r="F36" s="4"/>
      <c r="G36" s="4" t="s">
        <v>552</v>
      </c>
      <c r="H36" s="4"/>
      <c r="I36" s="4"/>
      <c r="J36" s="4"/>
      <c r="K36" s="4"/>
    </row>
    <row r="37" spans="1:11" ht="27.6">
      <c r="A37" s="4"/>
      <c r="B37" s="4" t="s">
        <v>533</v>
      </c>
      <c r="C37" s="4" t="s">
        <v>553</v>
      </c>
      <c r="D37" s="4" t="s">
        <v>554</v>
      </c>
      <c r="E37" s="4" t="s">
        <v>555</v>
      </c>
      <c r="F37" s="4"/>
      <c r="G37" s="4" t="s">
        <v>556</v>
      </c>
      <c r="H37" s="4"/>
      <c r="I37" s="4"/>
      <c r="J37" s="4"/>
      <c r="K37" s="4"/>
    </row>
    <row r="38" spans="1:11" ht="27.6">
      <c r="A38" s="4"/>
      <c r="B38" s="4" t="s">
        <v>533</v>
      </c>
      <c r="C38" s="4" t="s">
        <v>557</v>
      </c>
      <c r="D38" s="4" t="s">
        <v>558</v>
      </c>
      <c r="E38" s="4" t="s">
        <v>559</v>
      </c>
      <c r="F38" s="4"/>
      <c r="G38" s="4" t="s">
        <v>560</v>
      </c>
      <c r="H38" s="4"/>
      <c r="I38" s="4"/>
      <c r="J38" s="4"/>
      <c r="K38" s="4"/>
    </row>
    <row r="39" spans="1:11" ht="27.6">
      <c r="A39" s="4"/>
      <c r="B39" s="4" t="s">
        <v>533</v>
      </c>
      <c r="C39" s="4" t="s">
        <v>561</v>
      </c>
      <c r="D39" s="4" t="s">
        <v>562</v>
      </c>
      <c r="E39" s="4" t="s">
        <v>528</v>
      </c>
      <c r="F39" s="4"/>
      <c r="G39" s="4" t="s">
        <v>563</v>
      </c>
      <c r="H39" s="4"/>
      <c r="I39" s="4"/>
      <c r="J39" s="4"/>
      <c r="K39" s="4"/>
    </row>
    <row r="40" spans="1:11">
      <c r="A40" s="4"/>
      <c r="B40" s="4" t="s">
        <v>564</v>
      </c>
      <c r="C40" s="4" t="s">
        <v>565</v>
      </c>
      <c r="D40" s="4" t="s">
        <v>566</v>
      </c>
      <c r="E40" s="4" t="s">
        <v>567</v>
      </c>
      <c r="F40" s="4"/>
      <c r="G40" s="4" t="s">
        <v>568</v>
      </c>
      <c r="H40" s="4"/>
      <c r="I40" s="4"/>
      <c r="J40" s="4"/>
      <c r="K40" s="4"/>
    </row>
    <row r="41" spans="1:11" ht="27.6">
      <c r="A41" s="4"/>
      <c r="B41" s="4" t="s">
        <v>564</v>
      </c>
      <c r="C41" s="4" t="s">
        <v>569</v>
      </c>
      <c r="D41" s="4" t="s">
        <v>570</v>
      </c>
      <c r="E41" s="4" t="s">
        <v>509</v>
      </c>
      <c r="F41" s="4"/>
      <c r="G41" s="4" t="s">
        <v>571</v>
      </c>
      <c r="H41" s="4"/>
      <c r="I41" s="4"/>
      <c r="J41" s="4"/>
      <c r="K41" s="4"/>
    </row>
    <row r="42" spans="1:11" ht="27.6">
      <c r="A42" s="4"/>
      <c r="B42" s="4" t="s">
        <v>564</v>
      </c>
      <c r="C42" s="4" t="s">
        <v>572</v>
      </c>
      <c r="D42" s="4" t="s">
        <v>573</v>
      </c>
      <c r="E42" s="4" t="s">
        <v>574</v>
      </c>
      <c r="F42" s="4"/>
      <c r="G42" s="4" t="s">
        <v>575</v>
      </c>
      <c r="H42" s="4"/>
      <c r="I42" s="4"/>
      <c r="J42" s="4"/>
      <c r="K42" s="4"/>
    </row>
    <row r="43" spans="1:11" ht="27.6">
      <c r="A43" s="4"/>
      <c r="B43" s="4" t="s">
        <v>564</v>
      </c>
      <c r="C43" s="4" t="s">
        <v>576</v>
      </c>
      <c r="D43" s="4" t="s">
        <v>577</v>
      </c>
      <c r="E43" s="4" t="s">
        <v>578</v>
      </c>
      <c r="F43" s="4"/>
      <c r="G43" s="4" t="s">
        <v>579</v>
      </c>
      <c r="H43" s="4"/>
      <c r="I43" s="4"/>
      <c r="J43" s="4"/>
      <c r="K43" s="4"/>
    </row>
    <row r="44" spans="1:11" ht="27.6">
      <c r="A44" s="4"/>
      <c r="B44" s="4" t="s">
        <v>564</v>
      </c>
      <c r="C44" s="4" t="s">
        <v>580</v>
      </c>
      <c r="D44" s="4" t="s">
        <v>581</v>
      </c>
      <c r="E44" s="4" t="s">
        <v>582</v>
      </c>
      <c r="F44" s="4"/>
      <c r="G44" s="4" t="s">
        <v>583</v>
      </c>
      <c r="H44" s="4"/>
      <c r="I44" s="4"/>
      <c r="J44" s="4"/>
      <c r="K44" s="4"/>
    </row>
    <row r="45" spans="1:11" ht="27.6">
      <c r="A45" s="4"/>
      <c r="B45" s="4" t="s">
        <v>564</v>
      </c>
      <c r="C45" s="4" t="s">
        <v>584</v>
      </c>
      <c r="D45" s="4" t="s">
        <v>585</v>
      </c>
      <c r="E45" s="4" t="s">
        <v>586</v>
      </c>
      <c r="F45" s="4"/>
      <c r="G45" s="4" t="s">
        <v>587</v>
      </c>
      <c r="H45" s="4"/>
      <c r="I45" s="4"/>
      <c r="J45" s="4"/>
      <c r="K45" s="4"/>
    </row>
    <row r="46" spans="1:11" ht="27.6">
      <c r="A46" s="4"/>
      <c r="B46" s="4" t="s">
        <v>564</v>
      </c>
      <c r="C46" s="4" t="s">
        <v>588</v>
      </c>
      <c r="D46" s="4" t="s">
        <v>589</v>
      </c>
      <c r="E46" s="4" t="s">
        <v>520</v>
      </c>
      <c r="F46" s="4"/>
      <c r="G46" s="4" t="s">
        <v>590</v>
      </c>
      <c r="H46" s="4"/>
      <c r="I46" s="4"/>
      <c r="J46" s="4"/>
      <c r="K46" s="4"/>
    </row>
    <row r="47" spans="1:11">
      <c r="A47" s="4"/>
      <c r="B47" s="4" t="s">
        <v>564</v>
      </c>
      <c r="C47" s="4" t="s">
        <v>591</v>
      </c>
      <c r="D47" s="4" t="s">
        <v>592</v>
      </c>
      <c r="E47" s="4" t="s">
        <v>524</v>
      </c>
      <c r="F47" s="4"/>
      <c r="G47" s="4" t="s">
        <v>593</v>
      </c>
      <c r="H47" s="4"/>
      <c r="I47" s="4"/>
      <c r="J47" s="4"/>
      <c r="K47" s="4"/>
    </row>
    <row r="48" spans="1:11" ht="27.6">
      <c r="A48" s="4"/>
      <c r="B48" s="4" t="s">
        <v>564</v>
      </c>
      <c r="C48" s="4" t="s">
        <v>594</v>
      </c>
      <c r="D48" s="4" t="s">
        <v>595</v>
      </c>
      <c r="E48" s="4" t="s">
        <v>528</v>
      </c>
      <c r="F48" s="4"/>
      <c r="G48" s="4" t="s">
        <v>596</v>
      </c>
      <c r="H48" s="4"/>
      <c r="I48" s="4"/>
      <c r="J48" s="4"/>
      <c r="K48" s="4"/>
    </row>
    <row r="49" spans="1:11" ht="27.6">
      <c r="A49" s="4"/>
      <c r="B49" s="4" t="s">
        <v>564</v>
      </c>
      <c r="C49" s="4" t="s">
        <v>597</v>
      </c>
      <c r="D49" s="4" t="s">
        <v>598</v>
      </c>
      <c r="E49" s="4" t="s">
        <v>528</v>
      </c>
      <c r="F49" s="4"/>
      <c r="G49" s="4" t="s">
        <v>596</v>
      </c>
      <c r="H49" s="4"/>
      <c r="I49" s="4"/>
      <c r="J49" s="4"/>
      <c r="K49" s="4"/>
    </row>
    <row r="50" spans="1:11" ht="27.6">
      <c r="A50" s="4"/>
      <c r="B50" s="4" t="s">
        <v>564</v>
      </c>
      <c r="C50" s="4" t="s">
        <v>599</v>
      </c>
      <c r="D50" s="4" t="s">
        <v>600</v>
      </c>
      <c r="E50" s="4" t="s">
        <v>528</v>
      </c>
      <c r="F50" s="4"/>
      <c r="G50" s="4" t="s">
        <v>601</v>
      </c>
      <c r="H50" s="4"/>
      <c r="I50" s="4"/>
      <c r="J50" s="4"/>
      <c r="K50" s="4"/>
    </row>
    <row r="51" spans="1:11" ht="27.6">
      <c r="A51" s="4"/>
      <c r="B51" s="4" t="s">
        <v>564</v>
      </c>
      <c r="C51" s="4" t="s">
        <v>602</v>
      </c>
      <c r="D51" s="4" t="s">
        <v>603</v>
      </c>
      <c r="E51" s="4" t="s">
        <v>604</v>
      </c>
      <c r="F51" s="4"/>
      <c r="G51" s="4" t="s">
        <v>671</v>
      </c>
      <c r="H51" s="4"/>
      <c r="I51" s="4"/>
      <c r="J51" s="4"/>
      <c r="K51" s="4"/>
    </row>
    <row r="52" spans="1:11" ht="27.6">
      <c r="A52" s="4"/>
      <c r="B52" s="4" t="s">
        <v>564</v>
      </c>
      <c r="C52" s="4" t="s">
        <v>605</v>
      </c>
      <c r="D52" s="4" t="s">
        <v>603</v>
      </c>
      <c r="E52" s="4" t="s">
        <v>606</v>
      </c>
      <c r="F52" s="4"/>
      <c r="G52" s="4" t="s">
        <v>672</v>
      </c>
      <c r="H52" s="4"/>
      <c r="I52" s="4"/>
      <c r="J52" s="4"/>
      <c r="K52" s="4"/>
    </row>
    <row r="53" spans="1:11" ht="27.6">
      <c r="A53" s="4"/>
      <c r="B53" s="4" t="s">
        <v>564</v>
      </c>
      <c r="C53" s="4" t="s">
        <v>607</v>
      </c>
      <c r="D53" s="4" t="s">
        <v>603</v>
      </c>
      <c r="E53" s="4" t="s">
        <v>608</v>
      </c>
      <c r="F53" s="4"/>
      <c r="G53" s="4" t="s">
        <v>673</v>
      </c>
      <c r="H53" s="4"/>
      <c r="I53" s="4"/>
      <c r="J53" s="4"/>
      <c r="K53" s="4"/>
    </row>
    <row r="54" spans="1:11" ht="27.6">
      <c r="A54" s="4"/>
      <c r="B54" s="4" t="s">
        <v>609</v>
      </c>
      <c r="C54" s="4" t="s">
        <v>610</v>
      </c>
      <c r="D54" s="4" t="s">
        <v>611</v>
      </c>
      <c r="E54" s="4" t="s">
        <v>612</v>
      </c>
      <c r="F54" s="4"/>
      <c r="G54" s="4" t="s">
        <v>613</v>
      </c>
      <c r="H54" s="4"/>
      <c r="I54" s="4"/>
      <c r="J54" s="4"/>
      <c r="K54" s="4"/>
    </row>
    <row r="55" spans="1:11" ht="41.4">
      <c r="A55" s="4"/>
      <c r="B55" s="4" t="s">
        <v>609</v>
      </c>
      <c r="C55" s="4" t="s">
        <v>614</v>
      </c>
      <c r="D55" s="4" t="s">
        <v>615</v>
      </c>
      <c r="E55" s="4" t="s">
        <v>616</v>
      </c>
      <c r="F55" s="4"/>
      <c r="G55" s="4" t="s">
        <v>674</v>
      </c>
      <c r="H55" s="4"/>
      <c r="I55" s="4"/>
      <c r="J55" s="4"/>
      <c r="K55" s="4"/>
    </row>
    <row r="56" spans="1:11" ht="27.6">
      <c r="A56" s="4"/>
      <c r="B56" s="4" t="s">
        <v>609</v>
      </c>
      <c r="C56" s="4" t="s">
        <v>617</v>
      </c>
      <c r="D56" s="4" t="s">
        <v>618</v>
      </c>
      <c r="E56" s="4" t="s">
        <v>520</v>
      </c>
      <c r="F56" s="4"/>
      <c r="G56" s="4" t="s">
        <v>670</v>
      </c>
      <c r="H56" s="4"/>
      <c r="I56" s="4"/>
      <c r="J56" s="4"/>
      <c r="K56" s="4"/>
    </row>
    <row r="57" spans="1:11" ht="27.6">
      <c r="A57" s="4"/>
      <c r="B57" s="4" t="s">
        <v>609</v>
      </c>
      <c r="C57" s="4" t="s">
        <v>619</v>
      </c>
      <c r="D57" s="4" t="s">
        <v>620</v>
      </c>
      <c r="E57" s="4" t="s">
        <v>524</v>
      </c>
      <c r="F57" s="4"/>
      <c r="G57" s="4" t="s">
        <v>669</v>
      </c>
      <c r="H57" s="4"/>
      <c r="I57" s="4"/>
      <c r="J57" s="4"/>
      <c r="K57" s="4"/>
    </row>
    <row r="58" spans="1:11" ht="27.6">
      <c r="A58" s="4"/>
      <c r="B58" s="4" t="s">
        <v>609</v>
      </c>
      <c r="C58" s="4" t="s">
        <v>621</v>
      </c>
      <c r="D58" s="4" t="s">
        <v>622</v>
      </c>
      <c r="E58" s="4" t="s">
        <v>623</v>
      </c>
      <c r="F58" s="4"/>
      <c r="G58" s="4" t="s">
        <v>624</v>
      </c>
      <c r="H58" s="4"/>
      <c r="I58" s="4"/>
      <c r="J58" s="4"/>
      <c r="K58" s="4"/>
    </row>
    <row r="59" spans="1:11" ht="27.6">
      <c r="A59" s="4"/>
      <c r="B59" s="4" t="s">
        <v>609</v>
      </c>
      <c r="C59" s="4" t="s">
        <v>625</v>
      </c>
      <c r="D59" s="4" t="s">
        <v>626</v>
      </c>
      <c r="E59" s="4" t="s">
        <v>627</v>
      </c>
      <c r="F59" s="4"/>
      <c r="G59" s="4" t="s">
        <v>628</v>
      </c>
      <c r="H59" s="4"/>
      <c r="I59" s="4"/>
      <c r="J59" s="4"/>
      <c r="K59" s="4"/>
    </row>
    <row r="60" spans="1:11" ht="27.6">
      <c r="A60" s="4"/>
      <c r="B60" s="4" t="s">
        <v>609</v>
      </c>
      <c r="C60" s="4" t="s">
        <v>675</v>
      </c>
      <c r="D60" s="4" t="s">
        <v>629</v>
      </c>
      <c r="E60" s="4" t="s">
        <v>630</v>
      </c>
      <c r="F60" s="4"/>
      <c r="G60" s="4" t="s">
        <v>676</v>
      </c>
      <c r="H60" s="4"/>
      <c r="I60" s="4"/>
      <c r="J60" s="4"/>
      <c r="K60" s="4"/>
    </row>
    <row r="61" spans="1:11" ht="27.6">
      <c r="A61" s="4"/>
      <c r="B61" s="4" t="s">
        <v>609</v>
      </c>
      <c r="C61" s="4" t="s">
        <v>631</v>
      </c>
      <c r="D61" s="4" t="s">
        <v>632</v>
      </c>
      <c r="E61" s="4" t="s">
        <v>633</v>
      </c>
      <c r="F61" s="4"/>
      <c r="G61" s="4" t="s">
        <v>634</v>
      </c>
      <c r="H61" s="4"/>
      <c r="I61" s="4"/>
      <c r="J61" s="4"/>
      <c r="K61" s="4"/>
    </row>
    <row r="62" spans="1:11" ht="27.6">
      <c r="A62" s="4"/>
      <c r="B62" s="4" t="s">
        <v>609</v>
      </c>
      <c r="C62" s="4" t="s">
        <v>635</v>
      </c>
      <c r="D62" s="4" t="s">
        <v>636</v>
      </c>
      <c r="E62" s="4" t="s">
        <v>528</v>
      </c>
      <c r="F62" s="4"/>
      <c r="G62" s="4" t="s">
        <v>677</v>
      </c>
      <c r="H62" s="4"/>
      <c r="I62" s="4"/>
      <c r="J62" s="4"/>
      <c r="K62" s="4"/>
    </row>
    <row r="63" spans="1:11" ht="27.6">
      <c r="A63" s="4"/>
      <c r="B63" s="4" t="s">
        <v>637</v>
      </c>
      <c r="C63" s="4" t="s">
        <v>638</v>
      </c>
      <c r="D63" s="4" t="s">
        <v>618</v>
      </c>
      <c r="E63" s="4" t="s">
        <v>639</v>
      </c>
      <c r="F63" s="4"/>
      <c r="G63" s="4" t="s">
        <v>678</v>
      </c>
      <c r="H63" s="4"/>
      <c r="I63" s="4"/>
      <c r="J63" s="4"/>
      <c r="K63" s="4"/>
    </row>
    <row r="64" spans="1:11" ht="27.6">
      <c r="A64" s="4"/>
      <c r="B64" s="4" t="s">
        <v>637</v>
      </c>
      <c r="C64" s="4" t="s">
        <v>640</v>
      </c>
      <c r="D64" s="4" t="s">
        <v>496</v>
      </c>
      <c r="E64" s="4" t="s">
        <v>639</v>
      </c>
      <c r="F64" s="4"/>
      <c r="G64" s="4" t="s">
        <v>679</v>
      </c>
      <c r="H64" s="4"/>
      <c r="I64" s="4"/>
      <c r="J64" s="4"/>
      <c r="K64" s="4"/>
    </row>
    <row r="65" spans="1:11" ht="27.6">
      <c r="A65" s="4"/>
      <c r="B65" s="4" t="s">
        <v>637</v>
      </c>
      <c r="C65" s="4" t="s">
        <v>683</v>
      </c>
      <c r="D65" s="4" t="s">
        <v>684</v>
      </c>
      <c r="E65" s="4" t="s">
        <v>639</v>
      </c>
      <c r="F65" s="4"/>
      <c r="G65" s="4" t="s">
        <v>679</v>
      </c>
      <c r="H65" s="4"/>
      <c r="I65" s="4"/>
      <c r="J65" s="4"/>
      <c r="K65" s="4"/>
    </row>
    <row r="66" spans="1:11" ht="27.6">
      <c r="A66" s="4"/>
      <c r="B66" s="4" t="s">
        <v>680</v>
      </c>
      <c r="C66" s="4" t="s">
        <v>681</v>
      </c>
      <c r="D66" s="4" t="s">
        <v>636</v>
      </c>
      <c r="E66" s="4" t="s">
        <v>682</v>
      </c>
      <c r="F66" s="4"/>
      <c r="G66" s="4" t="s">
        <v>685</v>
      </c>
      <c r="H66" s="4"/>
      <c r="I66" s="4"/>
      <c r="J66" s="4"/>
      <c r="K66" s="4"/>
    </row>
    <row r="67" spans="1:11" ht="27.6">
      <c r="A67" s="4"/>
      <c r="B67" s="4" t="s">
        <v>680</v>
      </c>
      <c r="C67" s="4" t="s">
        <v>680</v>
      </c>
      <c r="D67" s="4" t="s">
        <v>496</v>
      </c>
      <c r="E67" s="4" t="s">
        <v>682</v>
      </c>
      <c r="F67" s="4"/>
      <c r="G67" s="4" t="s">
        <v>680</v>
      </c>
      <c r="H67" s="4"/>
      <c r="I67" s="4"/>
      <c r="J67" s="4"/>
      <c r="K67" s="4"/>
    </row>
    <row r="68" spans="1:11" ht="27.6">
      <c r="A68" s="4"/>
      <c r="B68" s="4" t="s">
        <v>641</v>
      </c>
      <c r="C68" s="4" t="s">
        <v>642</v>
      </c>
      <c r="D68" s="4" t="s">
        <v>643</v>
      </c>
      <c r="E68" s="4" t="s">
        <v>528</v>
      </c>
      <c r="F68" s="4"/>
      <c r="G68" s="4" t="s">
        <v>686</v>
      </c>
      <c r="H68" s="4"/>
      <c r="I68" s="4"/>
      <c r="J68" s="4"/>
      <c r="K68" s="4"/>
    </row>
    <row r="69" spans="1:11" ht="27.6">
      <c r="A69" s="4"/>
      <c r="B69" s="4" t="s">
        <v>641</v>
      </c>
      <c r="C69" s="4" t="s">
        <v>644</v>
      </c>
      <c r="D69" s="4" t="s">
        <v>632</v>
      </c>
      <c r="E69" s="4" t="s">
        <v>645</v>
      </c>
      <c r="F69" s="4"/>
      <c r="G69" s="4" t="s">
        <v>646</v>
      </c>
      <c r="H69" s="4"/>
      <c r="I69" s="4"/>
      <c r="J69" s="4"/>
      <c r="K69" s="4"/>
    </row>
    <row r="70" spans="1:11" ht="27.6">
      <c r="A70" s="4"/>
      <c r="B70" s="4" t="s">
        <v>641</v>
      </c>
      <c r="C70" s="4" t="s">
        <v>647</v>
      </c>
      <c r="D70" s="4" t="s">
        <v>632</v>
      </c>
      <c r="E70" s="4" t="s">
        <v>648</v>
      </c>
      <c r="F70" s="4"/>
      <c r="G70" s="4" t="s">
        <v>649</v>
      </c>
      <c r="H70" s="4"/>
      <c r="I70" s="4"/>
      <c r="J70" s="4"/>
      <c r="K70" s="4"/>
    </row>
    <row r="71" spans="1:11" ht="27.6">
      <c r="A71" s="4"/>
      <c r="B71" s="4" t="s">
        <v>687</v>
      </c>
      <c r="C71" s="4" t="s">
        <v>688</v>
      </c>
      <c r="D71" s="4" t="s">
        <v>689</v>
      </c>
      <c r="E71" s="4" t="s">
        <v>690</v>
      </c>
      <c r="F71" s="4"/>
      <c r="G71" s="4" t="s">
        <v>691</v>
      </c>
      <c r="H71" s="4"/>
      <c r="I71" s="4"/>
      <c r="J71" s="4"/>
      <c r="K71" s="4"/>
    </row>
    <row r="72" spans="1:11" ht="27.6">
      <c r="A72" s="4"/>
      <c r="B72" s="4" t="s">
        <v>687</v>
      </c>
      <c r="C72" s="4" t="s">
        <v>692</v>
      </c>
      <c r="D72" s="4"/>
      <c r="E72" s="4" t="s">
        <v>693</v>
      </c>
      <c r="F72" s="4"/>
      <c r="G72" s="4" t="s">
        <v>677</v>
      </c>
      <c r="H72" s="4"/>
      <c r="I72" s="4"/>
      <c r="J72" s="4"/>
      <c r="K72" s="4"/>
    </row>
    <row r="73" spans="1:11" ht="41.4">
      <c r="A73" s="4"/>
      <c r="B73" s="4" t="s">
        <v>687</v>
      </c>
      <c r="C73" s="4"/>
      <c r="D73" s="4"/>
      <c r="E73" s="4" t="s">
        <v>694</v>
      </c>
      <c r="F73" s="4"/>
      <c r="G73" s="4" t="s">
        <v>695</v>
      </c>
      <c r="H73" s="4"/>
      <c r="I73" s="4"/>
      <c r="J73" s="4"/>
      <c r="K73" s="4"/>
    </row>
    <row r="74" spans="1:11" ht="27.6">
      <c r="A74" s="4"/>
      <c r="B74" s="4" t="s">
        <v>650</v>
      </c>
      <c r="C74" s="4" t="s">
        <v>651</v>
      </c>
      <c r="D74" s="4" t="s">
        <v>652</v>
      </c>
      <c r="E74" s="4" t="s">
        <v>653</v>
      </c>
      <c r="F74" s="4"/>
      <c r="G74" s="4" t="s">
        <v>654</v>
      </c>
      <c r="H74" s="4"/>
      <c r="I74" s="4"/>
      <c r="J74" s="4"/>
      <c r="K74" s="4"/>
    </row>
    <row r="75" spans="1:11" ht="27.6">
      <c r="A75" s="4"/>
      <c r="B75" s="4" t="s">
        <v>650</v>
      </c>
      <c r="C75" s="4" t="s">
        <v>655</v>
      </c>
      <c r="D75" s="4" t="s">
        <v>656</v>
      </c>
      <c r="E75" s="4" t="s">
        <v>657</v>
      </c>
      <c r="F75" s="4"/>
      <c r="G75" s="4" t="s">
        <v>658</v>
      </c>
      <c r="H75" s="4"/>
      <c r="I75" s="4"/>
      <c r="J75" s="4"/>
      <c r="K75" s="4"/>
    </row>
    <row r="76" spans="1:11" ht="27.6">
      <c r="A76" s="4"/>
      <c r="B76" s="4" t="s">
        <v>650</v>
      </c>
      <c r="C76" s="4" t="s">
        <v>659</v>
      </c>
      <c r="D76" s="4" t="s">
        <v>656</v>
      </c>
      <c r="E76" s="4" t="s">
        <v>660</v>
      </c>
      <c r="F76" s="4"/>
      <c r="G76" s="4" t="s">
        <v>661</v>
      </c>
      <c r="H76" s="4"/>
      <c r="I76" s="4"/>
      <c r="J76" s="4"/>
      <c r="K76" s="4"/>
    </row>
    <row r="77" spans="1:11" ht="27.6">
      <c r="A77" s="4"/>
      <c r="B77" s="4" t="s">
        <v>650</v>
      </c>
      <c r="C77" s="4" t="s">
        <v>662</v>
      </c>
      <c r="D77" s="4" t="s">
        <v>663</v>
      </c>
      <c r="E77" s="4" t="s">
        <v>664</v>
      </c>
      <c r="F77" s="4"/>
      <c r="G77" s="4" t="s">
        <v>665</v>
      </c>
      <c r="H77" s="4"/>
      <c r="I77" s="4"/>
      <c r="J77" s="4"/>
      <c r="K77" s="4"/>
    </row>
  </sheetData>
  <mergeCells count="7">
    <mergeCell ref="A10:K10"/>
    <mergeCell ref="A11:K11"/>
    <mergeCell ref="A1:E3"/>
    <mergeCell ref="A4:C4"/>
    <mergeCell ref="A5:C5"/>
    <mergeCell ref="A6:C6"/>
    <mergeCell ref="A7:C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A10F-ADFF-4906-BE48-05C48D140112}">
  <dimension ref="A1:K9"/>
  <sheetViews>
    <sheetView workbookViewId="0">
      <selection sqref="A1:XFD1048576"/>
    </sheetView>
  </sheetViews>
  <sheetFormatPr defaultRowHeight="13.8"/>
  <cols>
    <col min="1" max="1" width="16.19921875" customWidth="1"/>
    <col min="2" max="2" width="24.296875" customWidth="1"/>
    <col min="3" max="3" width="16.3984375" customWidth="1"/>
    <col min="4" max="4" width="23.19921875" customWidth="1"/>
    <col min="5" max="5" width="53.59765625" customWidth="1"/>
    <col min="6" max="6" width="23.3984375" customWidth="1"/>
    <col min="7" max="7" width="28" customWidth="1"/>
    <col min="8" max="8" width="13.3984375" customWidth="1"/>
    <col min="9" max="9" width="19.09765625" customWidth="1"/>
    <col min="10" max="10" width="23.3984375" customWidth="1"/>
    <col min="11" max="11" width="29.3984375" customWidth="1"/>
  </cols>
  <sheetData>
    <row r="1" spans="1:11">
      <c r="A1" s="12" t="s">
        <v>0</v>
      </c>
      <c r="B1" s="13"/>
      <c r="C1" s="13"/>
      <c r="D1" s="13"/>
      <c r="E1" s="14"/>
      <c r="F1" s="1"/>
      <c r="G1" s="1"/>
      <c r="H1" s="1"/>
      <c r="I1" s="1"/>
      <c r="J1" s="1"/>
      <c r="K1" s="1"/>
    </row>
    <row r="2" spans="1:11">
      <c r="A2" s="15"/>
      <c r="B2" s="16"/>
      <c r="C2" s="16"/>
      <c r="D2" s="16"/>
      <c r="E2" s="17"/>
      <c r="F2" s="1"/>
      <c r="G2" s="1"/>
      <c r="H2" s="1"/>
      <c r="I2" s="1"/>
      <c r="J2" s="1"/>
      <c r="K2" s="1"/>
    </row>
    <row r="3" spans="1:11">
      <c r="A3" s="18"/>
      <c r="B3" s="19"/>
      <c r="C3" s="19"/>
      <c r="D3" s="19"/>
      <c r="E3" s="20"/>
      <c r="F3" s="1"/>
      <c r="G3" s="1"/>
      <c r="H3" s="1"/>
      <c r="I3" s="1"/>
      <c r="J3" s="1"/>
      <c r="K3" s="1"/>
    </row>
    <row r="4" spans="1:11">
      <c r="A4" s="21" t="s">
        <v>1</v>
      </c>
      <c r="B4" s="22"/>
      <c r="C4" s="23"/>
      <c r="D4" s="2" t="s">
        <v>2</v>
      </c>
      <c r="E4" s="3">
        <f>COUNTIF(H12:H419,"PASS")</f>
        <v>0</v>
      </c>
      <c r="F4" s="4"/>
      <c r="G4" s="4"/>
      <c r="H4" s="4"/>
      <c r="I4" s="4"/>
      <c r="J4" s="4"/>
      <c r="K4" s="4"/>
    </row>
    <row r="5" spans="1:11">
      <c r="A5" s="21" t="s">
        <v>3</v>
      </c>
      <c r="B5" s="22"/>
      <c r="C5" s="23"/>
      <c r="D5" s="2"/>
      <c r="E5" s="3">
        <f>COUNTIF(H12:H419,"FAIL")</f>
        <v>0</v>
      </c>
      <c r="F5" s="4"/>
      <c r="G5" s="4"/>
      <c r="H5" s="4"/>
      <c r="I5" s="4"/>
      <c r="J5" s="4"/>
      <c r="K5" s="4"/>
    </row>
    <row r="6" spans="1:11">
      <c r="A6" s="21" t="s">
        <v>4</v>
      </c>
      <c r="B6" s="22"/>
      <c r="C6" s="23"/>
      <c r="D6" s="2"/>
      <c r="E6" s="3">
        <f>COUNTIF(H12:H419,"Pending")</f>
        <v>0</v>
      </c>
      <c r="G6" s="4"/>
      <c r="H6" s="4"/>
      <c r="I6" s="4"/>
      <c r="J6" s="4"/>
      <c r="K6" s="4"/>
    </row>
    <row r="7" spans="1:11">
      <c r="A7" s="21" t="s">
        <v>5</v>
      </c>
      <c r="B7" s="22"/>
      <c r="C7" s="23"/>
      <c r="D7" s="2"/>
      <c r="E7" s="3">
        <f>COUNTA(H12:H419)</f>
        <v>0</v>
      </c>
      <c r="F7" s="4"/>
      <c r="G7" s="4"/>
      <c r="H7" s="4"/>
      <c r="I7" s="4"/>
      <c r="J7" s="4"/>
      <c r="K7" s="4"/>
    </row>
    <row r="8" spans="1:11">
      <c r="A8" s="5"/>
      <c r="B8" s="6"/>
      <c r="C8" s="6"/>
      <c r="D8" s="6"/>
      <c r="E8" s="6"/>
      <c r="F8" s="7"/>
      <c r="G8" s="7"/>
      <c r="H8" s="7"/>
      <c r="I8" s="7"/>
      <c r="J8" s="7"/>
      <c r="K8" s="7"/>
    </row>
    <row r="9" spans="1:11" ht="37.799999999999997">
      <c r="A9" s="8" t="s">
        <v>6</v>
      </c>
      <c r="B9" s="8" t="s">
        <v>7</v>
      </c>
      <c r="C9" s="8" t="s">
        <v>8</v>
      </c>
      <c r="D9" s="8" t="s">
        <v>9</v>
      </c>
      <c r="E9" s="8" t="s">
        <v>10</v>
      </c>
      <c r="F9" s="8" t="s">
        <v>11</v>
      </c>
      <c r="G9" s="8" t="s">
        <v>12</v>
      </c>
      <c r="H9" s="8" t="s">
        <v>13</v>
      </c>
      <c r="I9" s="8" t="s">
        <v>14</v>
      </c>
      <c r="J9" s="8" t="s">
        <v>15</v>
      </c>
      <c r="K9" s="9" t="s">
        <v>16</v>
      </c>
    </row>
  </sheetData>
  <mergeCells count="5">
    <mergeCell ref="A1:E3"/>
    <mergeCell ref="A4:C4"/>
    <mergeCell ref="A5:C5"/>
    <mergeCell ref="A6:C6"/>
    <mergeCell ref="A7:C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0C17E-1FF1-4232-B0F0-B235810E8CB2}">
  <dimension ref="A1:K9"/>
  <sheetViews>
    <sheetView workbookViewId="0">
      <selection activeCell="E15" sqref="E15"/>
    </sheetView>
  </sheetViews>
  <sheetFormatPr defaultRowHeight="13.8"/>
  <cols>
    <col min="1" max="1" width="16.19921875" customWidth="1"/>
    <col min="2" max="2" width="24.296875" customWidth="1"/>
    <col min="3" max="3" width="16.3984375" customWidth="1"/>
    <col min="4" max="4" width="23.19921875" customWidth="1"/>
    <col min="5" max="5" width="53.59765625" customWidth="1"/>
    <col min="6" max="6" width="23.3984375" customWidth="1"/>
    <col min="7" max="7" width="28" customWidth="1"/>
    <col min="8" max="8" width="13.3984375" customWidth="1"/>
    <col min="9" max="9" width="19.09765625" customWidth="1"/>
    <col min="10" max="10" width="23.3984375" customWidth="1"/>
    <col min="11" max="11" width="29.3984375" customWidth="1"/>
  </cols>
  <sheetData>
    <row r="1" spans="1:11">
      <c r="A1" s="12" t="s">
        <v>0</v>
      </c>
      <c r="B1" s="13"/>
      <c r="C1" s="13"/>
      <c r="D1" s="13"/>
      <c r="E1" s="14"/>
      <c r="F1" s="1"/>
      <c r="G1" s="1"/>
      <c r="H1" s="1"/>
      <c r="I1" s="1"/>
      <c r="J1" s="1"/>
      <c r="K1" s="1"/>
    </row>
    <row r="2" spans="1:11">
      <c r="A2" s="15"/>
      <c r="B2" s="16"/>
      <c r="C2" s="16"/>
      <c r="D2" s="16"/>
      <c r="E2" s="17"/>
      <c r="F2" s="1"/>
      <c r="G2" s="1"/>
      <c r="H2" s="1"/>
      <c r="I2" s="1"/>
      <c r="J2" s="1"/>
      <c r="K2" s="1"/>
    </row>
    <row r="3" spans="1:11">
      <c r="A3" s="18"/>
      <c r="B3" s="19"/>
      <c r="C3" s="19"/>
      <c r="D3" s="19"/>
      <c r="E3" s="20"/>
      <c r="F3" s="1"/>
      <c r="G3" s="1"/>
      <c r="H3" s="1"/>
      <c r="I3" s="1"/>
      <c r="J3" s="1"/>
      <c r="K3" s="1"/>
    </row>
    <row r="4" spans="1:11">
      <c r="A4" s="21" t="s">
        <v>1</v>
      </c>
      <c r="B4" s="22"/>
      <c r="C4" s="23"/>
      <c r="D4" s="2" t="s">
        <v>2</v>
      </c>
      <c r="E4" s="3">
        <f>COUNTIF(H12:H419,"PASS")</f>
        <v>0</v>
      </c>
      <c r="F4" s="4"/>
      <c r="G4" s="4"/>
      <c r="H4" s="4"/>
      <c r="I4" s="4"/>
      <c r="J4" s="4"/>
      <c r="K4" s="4"/>
    </row>
    <row r="5" spans="1:11">
      <c r="A5" s="21" t="s">
        <v>3</v>
      </c>
      <c r="B5" s="22"/>
      <c r="C5" s="23"/>
      <c r="D5" s="2"/>
      <c r="E5" s="3">
        <f>COUNTIF(H12:H419,"FAIL")</f>
        <v>0</v>
      </c>
      <c r="F5" s="4"/>
      <c r="G5" s="4"/>
      <c r="H5" s="4"/>
      <c r="I5" s="4"/>
      <c r="J5" s="4"/>
      <c r="K5" s="4"/>
    </row>
    <row r="6" spans="1:11">
      <c r="A6" s="21" t="s">
        <v>4</v>
      </c>
      <c r="B6" s="22"/>
      <c r="C6" s="23"/>
      <c r="D6" s="2"/>
      <c r="E6" s="3">
        <f>COUNTIF(H12:H419,"Pending")</f>
        <v>0</v>
      </c>
      <c r="G6" s="4"/>
      <c r="H6" s="4"/>
      <c r="I6" s="4"/>
      <c r="J6" s="4"/>
      <c r="K6" s="4"/>
    </row>
    <row r="7" spans="1:11">
      <c r="A7" s="21" t="s">
        <v>5</v>
      </c>
      <c r="B7" s="22"/>
      <c r="C7" s="23"/>
      <c r="D7" s="2"/>
      <c r="E7" s="3">
        <f>COUNTA(H12:H419)</f>
        <v>0</v>
      </c>
      <c r="F7" s="4"/>
      <c r="G7" s="4"/>
      <c r="H7" s="4"/>
      <c r="I7" s="4"/>
      <c r="J7" s="4"/>
      <c r="K7" s="4"/>
    </row>
    <row r="8" spans="1:11">
      <c r="A8" s="5"/>
      <c r="B8" s="6"/>
      <c r="C8" s="6"/>
      <c r="D8" s="6"/>
      <c r="E8" s="6"/>
      <c r="F8" s="7"/>
      <c r="G8" s="7"/>
      <c r="H8" s="7"/>
      <c r="I8" s="7"/>
      <c r="J8" s="7"/>
      <c r="K8" s="7"/>
    </row>
    <row r="9" spans="1:11" ht="37.799999999999997">
      <c r="A9" s="8" t="s">
        <v>6</v>
      </c>
      <c r="B9" s="8" t="s">
        <v>7</v>
      </c>
      <c r="C9" s="8" t="s">
        <v>8</v>
      </c>
      <c r="D9" s="8" t="s">
        <v>9</v>
      </c>
      <c r="E9" s="8" t="s">
        <v>10</v>
      </c>
      <c r="F9" s="8" t="s">
        <v>11</v>
      </c>
      <c r="G9" s="8" t="s">
        <v>12</v>
      </c>
      <c r="H9" s="8" t="s">
        <v>13</v>
      </c>
      <c r="I9" s="8" t="s">
        <v>14</v>
      </c>
      <c r="J9" s="8" t="s">
        <v>15</v>
      </c>
      <c r="K9" s="9" t="s">
        <v>16</v>
      </c>
    </row>
  </sheetData>
  <mergeCells count="5">
    <mergeCell ref="A1:E3"/>
    <mergeCell ref="A4:C4"/>
    <mergeCell ref="A5:C5"/>
    <mergeCell ref="A6:C6"/>
    <mergeCell ref="A7:C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5C76-7476-4498-9861-95C20FD4B68B}">
  <dimension ref="A1"/>
  <sheetViews>
    <sheetView workbookViewId="0">
      <selection sqref="A1:XFD1048576"/>
    </sheetView>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Tìm kiếm</vt:lpstr>
      <vt:lpstr>Map</vt:lpstr>
      <vt:lpstr>Thông tin chung</vt:lpstr>
      <vt:lpstr>Công cụ đo vẽ</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Nguyen Phan Sy</cp:lastModifiedBy>
  <dcterms:created xsi:type="dcterms:W3CDTF">2015-06-05T18:17:20Z</dcterms:created>
  <dcterms:modified xsi:type="dcterms:W3CDTF">2026-06-22T10:47:56Z</dcterms:modified>
</cp:coreProperties>
</file>