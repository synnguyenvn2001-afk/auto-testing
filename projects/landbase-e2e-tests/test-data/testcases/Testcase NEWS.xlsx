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dmin\Desktop\Land - Copy\Testcase\"/>
    </mc:Choice>
  </mc:AlternateContent>
  <xr:revisionPtr revIDLastSave="0" documentId="13_ncr:1_{446D372A-E557-4EE7-82C3-62BFD71AA61A}" xr6:coauthVersionLast="47" xr6:coauthVersionMax="47" xr10:uidLastSave="{00000000-0000-0000-0000-000000000000}"/>
  <bookViews>
    <workbookView xWindow="19090" yWindow="-2600" windowWidth="25820" windowHeight="15500" activeTab="4" xr2:uid="{00000000-000D-0000-FFFF-FFFF00000000}"/>
  </bookViews>
  <sheets>
    <sheet name="Giao diện trang chủ" sheetId="1" r:id="rId1"/>
    <sheet name="Thông báo" sheetId="2" r:id="rId2"/>
    <sheet name="Tìm kiếm" sheetId="3" r:id="rId3"/>
    <sheet name="Xem chi tiết" sheetId="4" r:id="rId4"/>
    <sheet name="Sheet1 (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5" l="1"/>
  <c r="E6" i="5"/>
  <c r="E5" i="5"/>
  <c r="E4" i="5"/>
  <c r="E7" i="4"/>
  <c r="E6" i="4"/>
  <c r="E5" i="4"/>
  <c r="E4" i="4"/>
  <c r="E7" i="3"/>
  <c r="E6" i="3"/>
  <c r="E5" i="3"/>
  <c r="E4" i="3"/>
  <c r="E7" i="2"/>
  <c r="E6" i="2"/>
  <c r="E5" i="2"/>
  <c r="E4" i="2"/>
  <c r="E7" i="1"/>
  <c r="E6" i="1"/>
  <c r="E5" i="1"/>
  <c r="E4" i="1"/>
</calcChain>
</file>

<file path=xl/sharedStrings.xml><?xml version="1.0" encoding="utf-8"?>
<sst xmlns="http://schemas.openxmlformats.org/spreadsheetml/2006/main" count="875" uniqueCount="540">
  <si>
    <t>Tổng số trường hợp kiểm thử</t>
  </si>
  <si>
    <t>Kiểm tra tổng quan giao diện</t>
  </si>
  <si>
    <r>
      <rPr>
        <b/>
        <sz val="16"/>
        <rFont val="Times New Roman"/>
        <family val="1"/>
      </rPr>
      <t xml:space="preserve">KỊCH BẢN KIỂM THỬ
</t>
    </r>
    <r>
      <rPr>
        <sz val="16"/>
        <rFont val="Times New Roman"/>
        <family val="1"/>
      </rPr>
      <t>Dự án: &lt;&lt;Tên dự án&gt;&gt;</t>
    </r>
  </si>
  <si>
    <t>Số trường hợp kiểm thử đạt (Pass)</t>
  </si>
  <si>
    <t>Số trường hợp kiểm thử không đạt (Fail)</t>
  </si>
  <si>
    <t>Số trường hợp kiểm thử Không test(Pending)</t>
  </si>
  <si>
    <t>Mã trường hợp kiểm thử</t>
  </si>
  <si>
    <r>
      <t xml:space="preserve">Chức năng
</t>
    </r>
    <r>
      <rPr>
        <i/>
        <sz val="9"/>
        <rFont val="Times New Roman"/>
        <family val="1"/>
      </rPr>
      <t>&lt;&lt;Liệt kê các chức năng cần kiểm thử&gt;&gt;</t>
    </r>
  </si>
  <si>
    <r>
      <t xml:space="preserve">Mô tả
</t>
    </r>
    <r>
      <rPr>
        <i/>
        <sz val="9"/>
        <rFont val="Times New Roman"/>
        <family val="1"/>
      </rPr>
      <t>&lt;&lt; Mô tả test case đáp ứng có kịch bản &gt;&gt;</t>
    </r>
  </si>
  <si>
    <r>
      <t xml:space="preserve">Các bước thực hiện
</t>
    </r>
    <r>
      <rPr>
        <i/>
        <sz val="9"/>
        <rFont val="Times New Roman"/>
        <family val="1"/>
      </rPr>
      <t>&lt;&lt; Mô tả test case đáp ứng có kịch bản &gt;&gt;</t>
    </r>
  </si>
  <si>
    <r>
      <t xml:space="preserve">Dữ liệu test
</t>
    </r>
    <r>
      <rPr>
        <i/>
        <sz val="9"/>
        <rFont val="Times New Roman"/>
        <family val="1"/>
      </rPr>
      <t>&lt;&lt;Dữ liệu cần để thực hiện kịch bản&gt;&gt;</t>
    </r>
  </si>
  <si>
    <r>
      <t xml:space="preserve">Kết quả mong muốn
</t>
    </r>
    <r>
      <rPr>
        <i/>
        <sz val="9"/>
        <rFont val="Times New Roman"/>
        <family val="1"/>
      </rPr>
      <t>&lt;&lt; Mô tả kết quả mong muốn &gt;&gt;</t>
    </r>
  </si>
  <si>
    <r>
      <t xml:space="preserve">Kết quả
</t>
    </r>
    <r>
      <rPr>
        <i/>
        <sz val="9"/>
        <rFont val="Times New Roman"/>
        <family val="1"/>
      </rPr>
      <t>&lt;&lt;Trạng thái Test&gt;&gt;</t>
    </r>
  </si>
  <si>
    <t>Người thực hiện</t>
  </si>
  <si>
    <t>Ngày thực hiện</t>
  </si>
  <si>
    <r>
      <t xml:space="preserve">Ghi chú
</t>
    </r>
    <r>
      <rPr>
        <i/>
        <sz val="9"/>
        <color theme="1"/>
        <rFont val="Times New Roman"/>
        <family val="1"/>
      </rPr>
      <t>&lt;&lt; Bằng chứng lỗi, mã lỗi &gt;&gt;</t>
    </r>
  </si>
  <si>
    <r>
      <t xml:space="preserve">KỊCH BẢN KIỂM THỬ
</t>
    </r>
    <r>
      <rPr>
        <sz val="16"/>
        <rFont val="Times New Roman"/>
        <family val="1"/>
      </rPr>
      <t>Dự án: &lt;&lt;Landbase&gt;&gt;</t>
    </r>
  </si>
  <si>
    <t>Kiểm tra giao diện chung</t>
  </si>
  <si>
    <t xml:space="preserve">Kiểm tra bố cục layout cân đối </t>
  </si>
  <si>
    <t>1. Mở trình duyệt, truy cập vào URL trang chủ news.landbase.vn.
2. Kiểm tra bố cục, các chức năng, tin tức</t>
  </si>
  <si>
    <t>Bố cục hiển thị cân đối, không bị tràn viền. Hiển thị đủ các chức năng của trang tin tức</t>
  </si>
  <si>
    <t>1. Mở trình duyệt, truy cập vào URL trang chủ news.landbase.vn.
2. Kiểm tra bố cục, các chức năng, tin tức
- Header: Logo Landbase, Tin nổi bật, Tin địa phương (mới/ cũ), Vĩ mô, Đấu giá, Quy hoạch, Khởi công, Bất động sản 360, Đăng ký Đăng nhập (khi chưa đăng nhập tài khoản), Tên và ảnh tài khoản (Khi đăng nhập)
- Tìm kiếm: Tìm kiếm tin tức, Danh mục tìm kiếm, Toogle tim kiếm danh mục, Ngày bắt đầu, Ngày kết thúc, Nút xóa tất cả, Nút lưu bộ lọc, Nút tìm kiếm, Tìm kiếm nhanh(Chỉ khi đăng nhập và đã lưu bộ lọc)
- Body: Tin mới nhất, Tin địa phương, Tin vĩ mô, Tin đấu giá, Tin quy hoạch, Tin khởi công, Tin giải phóng mặt bằng, Tin đền bù
- Thông báo: Hiện chuông thông báo khi đăng nhập
- Footer</t>
  </si>
  <si>
    <t>Kiểm tra bố cục màn hình 1920 x 1080</t>
  </si>
  <si>
    <t>Kiểm tra bố cục màn hình 1440 x 769</t>
  </si>
  <si>
    <t>Kiểm tra bố cục màn hình 1280 x 720</t>
  </si>
  <si>
    <t>Kiểm tra nội dung màn hình</t>
  </si>
  <si>
    <t>Kiểm tra đường dẫn header</t>
  </si>
  <si>
    <t>Logo Landbase</t>
  </si>
  <si>
    <t>Tin nổi bật</t>
  </si>
  <si>
    <t>Tin địa phương (mới)</t>
  </si>
  <si>
    <t>Tin địa phương (cũ)</t>
  </si>
  <si>
    <t>Vĩ mô</t>
  </si>
  <si>
    <t>Đấu giá</t>
  </si>
  <si>
    <t>Quy hoạch</t>
  </si>
  <si>
    <t>Khởi công</t>
  </si>
  <si>
    <t>Bất động sản 360</t>
  </si>
  <si>
    <t>Tin hot trong ngày</t>
  </si>
  <si>
    <r>
      <t xml:space="preserve">Điều kiện tiên quyết
</t>
    </r>
    <r>
      <rPr>
        <sz val="9"/>
        <rFont val="Times New Roman"/>
        <family val="1"/>
      </rPr>
      <t>&lt;&lt; Mô tả điều kiện cần đáp ứng &gt;&gt;</t>
    </r>
  </si>
  <si>
    <t>Chưa đăng nhập</t>
  </si>
  <si>
    <t>Đã đăng nhập tài khoản</t>
  </si>
  <si>
    <t>1. Mở trình duyệt, truy cập vào URL trang chủ news.landbase.vn
2. Tại trang chính bấm vào logo Landbase ở header</t>
  </si>
  <si>
    <t>Không thay đổi</t>
  </si>
  <si>
    <t>1. Mở trình duyệt, truy cập vào URL trang chủ news.landbase.vn
2. Kéo scrool chuột xuống dưới
3. Bấm vào logo Landbase ở header</t>
  </si>
  <si>
    <t>1. Mở trình duyệt, truy cập vào URL trang chủ news.landbase.vn
2. Mở một tin tức bất kỳ
3. Bấm vào logo Landbase ở header</t>
  </si>
  <si>
    <t>Lên đầu trang của trang chủ</t>
  </si>
  <si>
    <t>Quay trở lại trang chủ</t>
  </si>
  <si>
    <t>1. Mở trình duyệt, truy cập vào URL trang chủ news.landbase.vn
2. Tại trang chính bấm vào Tin nổi bật ở header</t>
  </si>
  <si>
    <t>1. Mở trình duyệt, truy cập vào URL trang chủ news.landbase.vn
2. Kéo scrool chuột xuống dưới
3. Bấm vào Tin nổi bật ở header</t>
  </si>
  <si>
    <t>1. Mở trình duyệt, truy cập vào URL trang chủ news.landbase.vn
2. Mở một tin tức bất kỳ
3. Bấm vào logo Tin nổi bật ở header</t>
  </si>
  <si>
    <t>1. Mở trình duyệt, truy cập vào URL trang chủ news.landbase.vn
2. Hover chuột vào Tin địa phương (mới)</t>
  </si>
  <si>
    <t>Hiện dropdown list của các tỉnh thành phố sau sát nhập</t>
  </si>
  <si>
    <t>1. Mở trình duyệt, truy cập vào URL trang chủ news.landbase.vn
2. Hover chuột vào Tin địa phương (mới)
3. Hover chuột vào dropdown list của Tin địa phương (mới) tại Miền Bắc, Miền Trung, Miền Nam</t>
  </si>
  <si>
    <t>Hiện dropdown list chứa thành phố, tỉnh của khu vực đã chọn</t>
  </si>
  <si>
    <t>1. Mở trình duyệt, truy cập vào URL trang chủ news.landbase.vn
2. Hover chuột vào Tin địa phương (mới)
3. Hover chuột vào dropdown list của Tin địa phương (mới) tại Miền Bắc, Miền Trung, Miền Nam
4. Chọn 1 thẻ tỉnh, thành phố trong dropdown list</t>
  </si>
  <si>
    <t>1. Mở trình duyệt, truy cập vào URL trang chủ news.landbase.vn
2. Hover chuột vào Tin địa phương (cũ)</t>
  </si>
  <si>
    <t>1. Mở trình duyệt, truy cập vào URL trang chủ news.landbase.vn
2. Hover chuột vào Tin địa phương (cũ)
3. Hover chuột vào dropdown list của Tin địa phương (cũ) tại Miền Bắc, Miền Trung, Miền Nam</t>
  </si>
  <si>
    <t>1. Mở trình duyệt, truy cập vào URL trang chủ news.landbase.vn
2. Hover chuột vào Tin địa phương (cũ)
3. Hover chuột vào dropdown list của Tin địa phương (cũ) tại Miền Bắc, Miền Trung, Miền Nam
4. Chọn 1 thẻ tỉnh, thành phố trong dropdown list</t>
  </si>
  <si>
    <t>Mở màn tìm kiếm với thẻ thành phố/ tỉnh đã chọn</t>
  </si>
  <si>
    <t>1. Bấm vào thẻ Vĩ mô trên header</t>
  </si>
  <si>
    <t>1. Bấm vào thẻ Đấu giá trên header</t>
  </si>
  <si>
    <t>1. Bấm vào thẻ Quy hoạch trên header</t>
  </si>
  <si>
    <t>1. Bấm vào thẻ Khởi công trên header</t>
  </si>
  <si>
    <t>1. Bấm vào thẻ Bất động sản 360 trên header</t>
  </si>
  <si>
    <t>Mở màn tìm kiếm với thẻ Vĩ mô</t>
  </si>
  <si>
    <t>Mở màn tìm kiếm với thẻ Đấu giá</t>
  </si>
  <si>
    <t>Mở màn tìm kiếm với thẻ Quy hoạch</t>
  </si>
  <si>
    <t>Mở màn tìm kiếm với thẻ Khởi công</t>
  </si>
  <si>
    <t>Mở liên kết đi đến trang https://bds360.landbase.vn/</t>
  </si>
  <si>
    <t>1. Bấm vào thẻ Tin hot trong ngày</t>
  </si>
  <si>
    <t>Mở màn hình đăng nhập</t>
  </si>
  <si>
    <t>Đã mở pop up tin hot trong ngày</t>
  </si>
  <si>
    <t>Mở pop up tin nóng BĐS trong ngày</t>
  </si>
  <si>
    <t>Kiểm tra phím chức năng</t>
  </si>
  <si>
    <t>1. Bấm vào nguồn tin</t>
  </si>
  <si>
    <t>Mở tin tức nguồn đó ở tab mới</t>
  </si>
  <si>
    <t>1. Bấm vào chỉa sẻ lên facebook</t>
  </si>
  <si>
    <t>Mở tab chia sẻ tin lên facebook</t>
  </si>
  <si>
    <t>1. Bấm sao chép liên kết</t>
  </si>
  <si>
    <t>1. Bấm phím múi tên -&gt;</t>
  </si>
  <si>
    <t>1. Bấm phím múi tên &lt;-</t>
  </si>
  <si>
    <t>Đi đến nhóm tin tiếp theo</t>
  </si>
  <si>
    <t>Đi đến nhóm tin ở trước</t>
  </si>
  <si>
    <t>1. Đợi 5-10s</t>
  </si>
  <si>
    <t>Tự động chuyển đến nhóm tin tức tiếp theo</t>
  </si>
  <si>
    <t>Sao chiếp liên kết vào clipboard và hiện popup "Sao chéo url thành công"</t>
  </si>
  <si>
    <t>Đăng nhập</t>
  </si>
  <si>
    <t>Đăng ký</t>
  </si>
  <si>
    <t>1. Bấm vào nút đăng nhập</t>
  </si>
  <si>
    <t>1. Bấm vào nút đăng ký</t>
  </si>
  <si>
    <t>Chuyển sang màn đăng nhập</t>
  </si>
  <si>
    <t>Chuyển sang màn đăng ký</t>
  </si>
  <si>
    <t>Kiểm tra hiển thị avatar và tên người dùng sau khi đăng nhập.</t>
  </si>
  <si>
    <t>1. Kiểm tra xem avatar của người dùng có hiển thị trên header hay không.
2. Kiểm tra xem tên của người dùng có hiển thị chính xác bên cạnh avatar hay không.</t>
  </si>
  <si>
    <t>Avatar và tên người dùng hiển thị chính xác trên header.</t>
  </si>
  <si>
    <t>Kiểm tra droplist khi click vào avatar.</t>
  </si>
  <si>
    <t>Người dùng đã đăng nhập thành công và avatar/tên hiển thị trên header.</t>
  </si>
  <si>
    <t>1. Click vào avatar trên header.
2. Kiểm tra xem một droplist có các mục 'Thông tin tài khoản', 'Đăng xuất', 'Tài khoản chuyên gia' (nếu có) hiển thị hay không.</t>
  </si>
  <si>
    <t>Droplist hiển thị đầy đủ các mục như mô tả.</t>
  </si>
  <si>
    <t>Kiểm tra chức năng 'Thông tin tài khoản'.</t>
  </si>
  <si>
    <t>Kiểm tra chức năng 'Đăng xuất'.</t>
  </si>
  <si>
    <t>Người dùng đã đăng nhập thành công và droplist đã hiển thị.</t>
  </si>
  <si>
    <t>Kiểm tra hiển thị mã QR Business card khi đăng ký tài khoản nhà cung cấp</t>
  </si>
  <si>
    <t>Người dùng đã đăng nhập thành công và đã đăng ký tài khoản nhà cung cấp</t>
  </si>
  <si>
    <t>1. Click vào avatar trên header.
2. Click vào mục 'Thông tin tài khoản'.</t>
  </si>
  <si>
    <t>1. Click vào avatar trên header.
2. Click vào mục 'Đăng xuất'.</t>
  </si>
  <si>
    <t>1. Click vào avatar trên header.
2. Kiểm tra xem mã QR Business card có hiển thị hay không.</t>
  </si>
  <si>
    <t>Hệ thống chuyển đến trang 'Thông tin tài khoản'.</t>
  </si>
  <si>
    <t xml:space="preserve">Người dùng được đăng xuất khỏi hệ thống và chuyển về trang chủ </t>
  </si>
  <si>
    <t>Mã QR Business card hiển thị.</t>
  </si>
  <si>
    <t>Thanh header</t>
  </si>
  <si>
    <t>Trang tin tức</t>
  </si>
  <si>
    <t xml:space="preserve">Kiểm tra hiển thị danh sách tin mới nhất trên trang chủ </t>
  </si>
  <si>
    <t>Kiểm tra giao diện</t>
  </si>
  <si>
    <t>Người dùng truy cập trang chủ News</t>
  </si>
  <si>
    <t xml:space="preserve">1. Truy cập trang chủ News trên trình duyệt PC.
2. Scrool vị trí khu vực "Tin mới nhất".
3. Kiểm tra số lượng tin hiển thị.
4. Kiểm tra các thông tin hiển thị của mỗi tin.
</t>
  </si>
  <si>
    <t>1. Truy cập trang chủ News trên trình duyệt PC.
2. Scrool vị trí khu vực "Tin mới nhất".
3 Nhấn nút xem tất cả</t>
  </si>
  <si>
    <t>Hệ thống điều hướng đến trang kết quả tìm kiếm với tất cả các tin tức.</t>
  </si>
  <si>
    <t>Kiểm tra hiển thị  Tin địa phương trên PC</t>
  </si>
  <si>
    <t>1. Truy cập trang chủ News 360 trên trình duyệt PC.
2. Cuộn xuống mục 'Tin địa phương'.
3. Kiểm tra số lượng tin hiển thị.
4. Kiểm tra các thông tin hiển thị của mỗi tin.</t>
  </si>
  <si>
    <t>Thẻ trong tin địa phương khớp với định vị của người dùng</t>
  </si>
  <si>
    <t>1. Truy cập trang chủ News 360 trên trình duyệt PC.
2. Cuộn xuống mục 'Tin địa phương'.
3. Người dùng cho phép lấy vị trí định vị
4. Kiểm tra thẻ tin và vị trí người dùng.</t>
  </si>
  <si>
    <t>Thẻ trong tin địa phương mặc định có Hà Nội</t>
  </si>
  <si>
    <t>1. Truy cập trang chủ News trên trình duyệt PC.
2. Scrool vị trí khu vực "Tin địa phương".
3 Nhấn nút xem tất cả</t>
  </si>
  <si>
    <t>Hệ thống điều hướng đến trang kết quả tìm kiếm với thẻ của tin địa phương</t>
  </si>
  <si>
    <t>Khu vực "Tin mới nhất" hiển thị đầy đủ. Hiển thị 4 tin tức mới nhất. Mỗi tin hiển thị đầy đủ: Ảnh, Tiêu đề, Thời gian đăng bài, Thẻ.</t>
  </si>
  <si>
    <t>Khu vực "Tin địa phương" hiển thị đầy đủ. Hiển thị 4 tin tức có thẻ địa phương mới nhất. Mỗi tin hiển thị đầy đủ: Ảnh, Tiêu đề, Thời gian đăng bài, Thẻ.</t>
  </si>
  <si>
    <t>Kiểm tra hiển thị Tin vĩ mô trên PC</t>
  </si>
  <si>
    <t>1. Truy cập trang chủ News trên trình duyệt PC.
2. Cuộn xuống mục 'Tin vĩ mô'.
3. Kiểm tra số lượng tin hiển thị.
4. Kiểm tra các thông tin hiển thị của mỗi tin.</t>
  </si>
  <si>
    <t>1. Truy cập trang chủ News trên trình duyệt PC.
2. Scrool vị trí khu vực "Tin vĩ mô".
3 Nhấn nút xem tất cả</t>
  </si>
  <si>
    <t>Kiểm tra hiển thị Tin đấu giá trên PC</t>
  </si>
  <si>
    <t>1. Truy cập trang chủ News trên trình duyệt PC.
2. Cuộn xuống mục 'Tin đấu giá'.
3. Kiểm tra số lượng tin hiển thị.
4. Kiểm tra các thông tin hiển thị của mỗi tin.</t>
  </si>
  <si>
    <t>1. Truy cập trang chủ News trên trình duyệt PC.
2. Scrool vị trí khu vực "Tin đấu giá".
3 Nhấn nút xem tất cả</t>
  </si>
  <si>
    <t>Hệ thống điều hướng đến trang kết quả tìm kiếm với thẻ Đấu giá</t>
  </si>
  <si>
    <t>Hệ thống điều hướng đến trang kết quả tìm kiếm với thẻ Vĩ mô</t>
  </si>
  <si>
    <t>Khu vực "Tin vĩ mô" hiển thị đầy đủ. Hiển thị 4 tin tức có thẻ vĩ mô mới nhất. Mỗi tin hiển thị đầy đủ: Ảnh, Tiêu đề, Thời gian đăng bài, Thẻ.</t>
  </si>
  <si>
    <t>Khu vực "Tin đấu giá" hiển thị đầy đủ. Hiển thị 4 tin tức có thẻ đấu giá mới nhất. Mỗi tin hiển thị đầy đủ: Ảnh, Tiêu đề, Thời gian đăng bài, Thẻ.</t>
  </si>
  <si>
    <t>Kiểm tra hiển thị Tin quy hoạch trên PC</t>
  </si>
  <si>
    <t>1. Truy cập trang chủ News trên trình duyệt PC.
2. Cuộn xuống mục 'Tin quy hoạch́'.
3. Kiểm tra số lượng tin hiển thị.
4. Kiểm tra các thông tin hiển thị của mỗi tin.</t>
  </si>
  <si>
    <t>1. Truy cập trang chủ News trên trình duyệt PC.
2. Scrool vị trí khu vực "Tin quy hoạch".
3 Nhấn nút xem tất cả</t>
  </si>
  <si>
    <t>Khu vực "Tin quy hoạch" hiển thị đầy đủ. Hiển thị 4 tin tức có thẻ quy hoạch mới nhất. Mỗi tin hiển thị đầy đủ: Ảnh, Tiêu đề, Thời gian đăng bài, Thẻ.</t>
  </si>
  <si>
    <t>Hệ thống điều hướng đến trang kết quả tìm kiếm với thẻ Quy hoạch</t>
  </si>
  <si>
    <t>Kiểm tra hiển thị Tin khởi công trên PC</t>
  </si>
  <si>
    <t>1. Truy cập trang chủ News trên trình duyệt PC.
2. Cuộn xuống mục 'Tin khởi công'.
3. Kiểm tra số lượng tin hiển thị.
4. Kiểm tra các thông tin hiển thị của mỗi tin.</t>
  </si>
  <si>
    <t>1. Truy cập trang chủ News trên trình duyệt PC.
2. Scrool vị trí khu vực "Tin khởi công".
3 Nhấn nút xem tất cả</t>
  </si>
  <si>
    <t>Khu vực "Tin khởi công" hiển thị đầy đủ. Hiển thị 4 tin tức có thẻ quy hoạch mới nhất. Mỗi tin hiển thị đầy đủ: Ảnh, Tiêu đề, Thời gian đăng bài, Thẻ.</t>
  </si>
  <si>
    <t>Hệ thống điều hướng đến trang kết quả tìm kiếm với thẻ Khởi công</t>
  </si>
  <si>
    <t>Kiểm tra hiển thị Tin giải phóng mặt bằng trên PC</t>
  </si>
  <si>
    <t>1. Truy cập trang chủ News trên trình duyệt PC.
2. Cuộn xuống mục 'Tin giải phóng mặt bằng'.
3. Kiểm tra số lượng tin hiển thị.
4. Kiểm tra các thông tin hiển thị của mỗi tin.</t>
  </si>
  <si>
    <t>1. Truy cập trang chủ News trên trình duyệt PC.
2. Scrool vị trí khu vực "Tin giải phóng mặt bằng".
3 Nhấn nút xem tất cả</t>
  </si>
  <si>
    <t>Hệ thống điều hướng đến trang kết quả tìm kiếm với thẻ Giải phóng mặt bằng</t>
  </si>
  <si>
    <t>Kiểm tra hiển thị Tin đền bù mặt bằng trên PC</t>
  </si>
  <si>
    <t>1. Truy cập trang chủ News trên trình duyệt PC.
2. Cuộn xuống mục 'Tin đền bù'.
3. Kiểm tra số lượng tin hiển thị.
4. Kiểm tra các thông tin hiển thị của mỗi tin.</t>
  </si>
  <si>
    <t>1. Truy cập trang chủ News trên trình duyệt PC.
2. Scrool vị trí khu vực "Tin đền bù".
3 Nhấn nút xem tất cả</t>
  </si>
  <si>
    <t>Hệ thống điều hướng đến trang kết quả tìm kiếm với thẻ Đền bù</t>
  </si>
  <si>
    <t>Khu vực "Tin giải phóng mặt bằng" hiển thị đầy đủ. Hiển thị 4 tin tức có thẻ giải phóng mặt bằng mới nhất. Mỗi tin hiển thị đầy đủ: Ảnh, Tiêu đề, Thời gian đăng bài, Thẻ.</t>
  </si>
  <si>
    <t>Khu vực "Tin đền bù" hiển thị đầy đủ. Hiển thị 4 tin tức có thẻ đền bù mới nhất. Mỗi tin hiển thị đầy đủ: Ảnh, Tiêu đề, Thời gian đăng bài, Thẻ.</t>
  </si>
  <si>
    <t>Kiểm tra Phím chức năng</t>
  </si>
  <si>
    <t>Kiểm tra chức năng cửa phím Chia sẻ lên facebook</t>
  </si>
  <si>
    <t xml:space="preserve">Kiểm tra chức năng cửa phím Lưu tin </t>
  </si>
  <si>
    <t>Người dùng chưa đăng nhập</t>
  </si>
  <si>
    <t>Hiện chú thích Lưu tin</t>
  </si>
  <si>
    <t>1. Truy cập trang chủ News trên trình duyệt PC.
2. Scrool vị trí khu vực có bài viết
3 Hover chuột trên nút Lưu tin</t>
  </si>
  <si>
    <t>1. Truy cập trang chủ News trên trình duyệt PC.
2. Scrool vị trí khu vực có bài viết
3 Bấm nút Lưu tin</t>
  </si>
  <si>
    <t xml:space="preserve">Hiển thị popup "Vui lòng đăng nhập để có thể lưu tin tức" </t>
  </si>
  <si>
    <t>Người dùng đã đăng nhập tài khoản</t>
  </si>
  <si>
    <t>1. Truy cập trang chủ News trên trình duyệt PC.
2. Scrool vị trí khu vực có bài viết
3. Chọn bài viết chưa được lưu
4. Bấm nút Lưu tin</t>
  </si>
  <si>
    <t>Hiên popup "Lưu tin tức thành công" và lưu tin trong tài khoản</t>
  </si>
  <si>
    <t>1. Truy cập trang chủ News trên trình duyệt PC.
2. Scrool vị trí khu vực có bài viết
3. Chọn bài viết đã được lưu
4. Bấm nút Lưu tin</t>
  </si>
  <si>
    <t>Hiên popup "Bỏ lưu tin tức thành công" và lưu tin trong tài khoản</t>
  </si>
  <si>
    <t>1. Truy cập trang chủ News trên trình duyệt PC.
2. Scrool vị trí khu vực có bài viết
3 Bấm nút Chia sẻ lên facebook</t>
  </si>
  <si>
    <t>1. Truy cập trang chủ News trên trình duyệt PC.
2. Scrool vị trí khu vực có bài viết
3 Hover chuột trên nút Chia sẻ lên facebook</t>
  </si>
  <si>
    <t>Hiện chú thích Chia sẻ lên facebook</t>
  </si>
  <si>
    <t>Mở tab chia sẻ bài viết trên facebook</t>
  </si>
  <si>
    <t>Kiểm tra chức năng cửa phím Copy đường dẫn</t>
  </si>
  <si>
    <t>1. Truy cập trang chủ News trên trình duyệt PC.
2. Scrool vị trí khu vực có bài viết
3 Hover chuột trên nút Copy đường dẫn</t>
  </si>
  <si>
    <t>1. Truy cập trang chủ News trên trình duyệt PC.
2. Scrool vị trí khu vực có bài viết
3 Bấm nút Copy đường dẫn</t>
  </si>
  <si>
    <t>Hiện chú thích Copy đường dẫn</t>
  </si>
  <si>
    <t>Copy đường dẫn của bài viết</t>
  </si>
  <si>
    <t>Kiểm tra Icon thông báo</t>
  </si>
  <si>
    <t>Kiểm tra hiển thị icon thông báo</t>
  </si>
  <si>
    <t>Không hiển thị icon chuông thông báo</t>
  </si>
  <si>
    <t>1. Truy cập trang chủ News trên trình duyệt PC.
2. Quan sát bên phải dưới cùng của màn hình</t>
  </si>
  <si>
    <t>Hiển thị icon chuông thông báo</t>
  </si>
  <si>
    <t>Người dùng đã đăng nhập tài khoản, và chưa lưu bộ lọc có thông báo nào</t>
  </si>
  <si>
    <t>Hiển thị chỉ icon chuông thông báo</t>
  </si>
  <si>
    <t>Hiển thị icon chuông thông báo và số lượng thông báo ở bên phải</t>
  </si>
  <si>
    <t>Hiển thị icon chuông thông báo và số 9+ thông báo ở bên phải</t>
  </si>
  <si>
    <t>Kiểm tra tương tác với thông báo</t>
  </si>
  <si>
    <t>Chức năng thông báo</t>
  </si>
  <si>
    <t>Người dùng đã đăng nhập tài khoản, và có thông báo chưa đọc</t>
  </si>
  <si>
    <t>Người dùng đã đăng nhập tài khoản, và có hơn 10 thông báo chưa đọc</t>
  </si>
  <si>
    <t xml:space="preserve">1. Truy cập trang chủ News trên trình duyệt PC.
2. Bấm icon chuông </t>
  </si>
  <si>
    <t>Hiển thị "Không có thông báo nào"</t>
  </si>
  <si>
    <t>Hiển thị nút đánh dấu tất cả đã đọc</t>
  </si>
  <si>
    <t>Kiểm tra chức năng đánh dấu</t>
  </si>
  <si>
    <t>1. Truy cập trang chủ News trên trình duyệt PC.
2. Bấm icon chuông 
3. Bấm nút Đánh dấu tất cả đã đọc</t>
  </si>
  <si>
    <t>Chuyển đổi nhưng thông báo chưa đọc thành đã đọc
Bôi đen -&gt; Màu xám</t>
  </si>
  <si>
    <t>1. Truy cập trang chủ News trên trình duyệt PC.
2. Bấm icon chuông 
3. Bấm vào thông báo chưa đọc</t>
  </si>
  <si>
    <t>Chuyển đến trang tìm kiếm với bộ lọc tin tức</t>
  </si>
  <si>
    <t>Kiểm tra thao tác với thông báo</t>
  </si>
  <si>
    <t>x</t>
  </si>
  <si>
    <t>Mở danh sách các thông báo
- Sắp xếp theo thứ tự từ mới nhất đến cũ
- Thông báo đã đọc sẽ có màu xám
- Thông báo chưa đọc sẽ được bôi đen và chấm đỏ ở cuối</t>
  </si>
  <si>
    <t>Kiểm tra tư động gửi thông báo</t>
  </si>
  <si>
    <t>Kiểm tra thời gian nhận thông báo</t>
  </si>
  <si>
    <t>Người dùng đã đăng nhập tài khoản, và đăng nhận thông báo từ bộ lọc</t>
  </si>
  <si>
    <t>1. Đợi đến 18h mỗi ngày</t>
  </si>
  <si>
    <t>Thông báo gửi đến chuông thông báo</t>
  </si>
  <si>
    <t>Kiểm tra dao diện thanh tìm kiếm</t>
  </si>
  <si>
    <t>Tìm kiếm tin tức</t>
  </si>
  <si>
    <t>Danh mục tìm kiếm</t>
  </si>
  <si>
    <t>Toggle tìm kiếm chính xác/ tương đối</t>
  </si>
  <si>
    <t>Ngày bắt đầu - kết thúc</t>
  </si>
  <si>
    <t>Nút reset</t>
  </si>
  <si>
    <t>Nú́t lưu bộ lọc</t>
  </si>
  <si>
    <t>Nút tìm kiếm</t>
  </si>
  <si>
    <t>Tìm kiếm nhanh</t>
  </si>
  <si>
    <t>Người dùng đã truy cập trang chủ trên trình duyệt PC.</t>
  </si>
  <si>
    <t>1. Truy cập trang chủ News trên trình duyệt PC.
2. Quan sát thanh tìm kiếm</t>
  </si>
  <si>
    <t>Bố cục hiển thị cân đối, không bị tràn viền. Hiển thị đủ các chức năng của thanh tìm kiếm</t>
  </si>
  <si>
    <t>1. Truy cập trang chủ News trên trình duyệt PC.
2. Quan sát thanh tìm kiếm
3. Quan sát Tìm kiếm tin tức</t>
  </si>
  <si>
    <t>Thanh tìm kiếm</t>
  </si>
  <si>
    <t>Hiển thị placeholder là "Tìm kiếm tin tức"</t>
  </si>
  <si>
    <t>1. Truy cập trang chủ News trên trình duyệt PC.
2. Quan sát thanh tìm kiếm
3. Nhấp vào Tìm kiếm tin tức
4. Gõ bất kỳ ký tự nào</t>
  </si>
  <si>
    <t>Cho phép gõ bất kỳ ký tự nào và không hiển thị placeholder khi có chữ</t>
  </si>
  <si>
    <t>1. Truy cập trang chủ News trên trình duyệt PC.
2. Quan sát Danh mục tìm kiếm</t>
  </si>
  <si>
    <t>Hiển thị placeholder là "Danh mục tìm kiếm " và có mũi tên dropdown list</t>
  </si>
  <si>
    <t>1. Truy cập trang chủ News trên trình duyệt PC.
2. Quan sát thanh tìm kiếm
3. Nhấp vào Danh mục tìm kiếm</t>
  </si>
  <si>
    <t>Hiện drop downlist là "DVHC mới", "DVHC cũ"</t>
  </si>
  <si>
    <t>1. Truy cập trang chủ News trên trình duyệt PC.
2. Quan sát thanh tìm kiếm
3. Nhấp vào Danh mục tìm kiếm
4. Nhấp vào DVHC mới</t>
  </si>
  <si>
    <t>Hiện dropdown list là các tỉnh/thành phố sau sát nhập</t>
  </si>
  <si>
    <t>1. Truy cập trang chủ News trên trình duyệt PC.
2. Quan sát thanh tìm kiếm
3. Nhấp vào Danh mục tìm kiếm
4. Nhấp vào DVHC cũ</t>
  </si>
  <si>
    <t>Hiện dropdown list là các tỉnh/thành phố trước sát nhập</t>
  </si>
  <si>
    <t>1. Truy cập trang chủ News trên trình duyệt PC.
2. Quan sát thanh tìm kiếm
3. Nhấp vào Danh mục tìm kiếm
4. Nhấp vào DVHC mới
5. Chon 1 thẻ tỉnh thành phố</t>
  </si>
  <si>
    <t>Thẻ vừa chọn xuất hiện tròng thanh danh mục, thẻ trong droplist được bôi đậm</t>
  </si>
  <si>
    <t>1. Truy cập trang chủ News trên trình duyệt PC.
2. Quan sát thanh tìm kiếm
3. Nhấp vào Danh mục tìm kiếm
4. Nhấp vào DVHC mới
5. Chon nhiều thẻ tỉnh thành phố</t>
  </si>
  <si>
    <t>Các thẻ vừa chọn xuất hiện tròng thanh danh mục, thẻ trong droplist được bôi đậm</t>
  </si>
  <si>
    <t>1. Truy cập trang chủ News trên trình duyệt PC.
2. Quan sát thanh tìm kiếm
3. Nhấp vào Danh mục tìm kiếm
4. Nhấp vào DVHC mới
5. Chon nhiều thẻ tỉnh thành phố
6. Bấm lại thẻ đã chọn</t>
  </si>
  <si>
    <t>Các thẻ vừa chọn mất khỏi thanh danh mục, thẻ trong droplist bỏ bôi đậm</t>
  </si>
  <si>
    <t>1. Truy cập trang chủ News trên trình duyệt PC.
2. Quan sát thanh tìm kiếm
3. Nhấp vào Danh mục tìm kiếm
4. Nhấp vào DVHC mới
5. Chon nhiều thẻ tỉnh thành phố
6. Bấm dấu x trên thẻ ở trong thanh danh mục</t>
  </si>
  <si>
    <t>1. Truy cập trang chủ News trên trình duyệt PC.
2. Quan sát thanh tìm kiếm
3. Nhấp vào Danh mục tìm kiếm
4. Nhấp vào DVHC mới
5. Chon nhiều thẻ tỉnh thành phố
6. Bấm dấu x bên phải cuối ở trong thanh danh mục</t>
  </si>
  <si>
    <t>Xóa tất cả các thẻ đã chọn và bỏ bôi đạm thẻ đã chọn</t>
  </si>
  <si>
    <t>1. Truy cập trang chủ News trên trình duyệt PC.
2. Quan sát thanh tìm kiếm
3. Nhấp vào Danh mục tìm kiếm
4. Quan sát nút toggle</t>
  </si>
  <si>
    <t>Mặc định toggle khi vào trang là bật</t>
  </si>
  <si>
    <t>1. Truy cập trang chủ News trên trình duyệt PC.
2. Quan sát thanh tìm kiếm
3. Nhấp vào Danh mục tìm kiếm
4. Bấm nút toggle</t>
  </si>
  <si>
    <t>Đã bấm toggle</t>
  </si>
  <si>
    <t>Chuyển sang tìm kiếm tương đối</t>
  </si>
  <si>
    <t>1. Truy cập trang chủ News trên trình duyệt PC.
2. Quan sát thanh tìm kiếm
3. Quan sát Ngày bắt đầu - Ngày kết thúc</t>
  </si>
  <si>
    <t>Có placeholder Ngày bắt đầu - Ngày kết thúc</t>
  </si>
  <si>
    <t>Hiển thị thẻ tình/ thành phố có độ chính xác tương đối</t>
  </si>
  <si>
    <t>1. Truy cập trang chủ News trên trình duyệt PC.
2. Bấm vào thanh tìm kiếm tin tức
3. Gõ tỉnh/ thành phố không tồn tại</t>
  </si>
  <si>
    <t>1. Truy cập trang chủ News trên trình duyệt PC.
2. Bấm vào thanh tìm kiếm tin tức
3. Gõ tỉnh/ thành phố có tồn tại</t>
  </si>
  <si>
    <t>Hiển thị trống</t>
  </si>
  <si>
    <t>1. Truy cập trang chủ News trên trình duyệt PC.
2. Quan sát thanh tìm kiếm
3. Bấm vào Ngày bắt đầu - Ngày kết thúc</t>
  </si>
  <si>
    <t>Hiển thị lịch để chọn ngày</t>
  </si>
  <si>
    <t>1. Truy cập trang chủ News trên trình duyệt PC.
2. Quan sát thanh tìm kiếm
3. Bấm vào Ngày bắt đầu - Ngày kết thúc
4. Chọn ngày trên lịch</t>
  </si>
  <si>
    <t>Chọn ngày bắt đầu = ngày kết thúc</t>
  </si>
  <si>
    <t>Chọn ngày bắt đầu &lt; ngày kết thúc</t>
  </si>
  <si>
    <t>Hiển thị tin trong khỏng thời gian được chọn</t>
  </si>
  <si>
    <t>Hiển thị tin của 1 ngày được chọn</t>
  </si>
  <si>
    <t>Chọn ngày bắt đầu &gt; ngày kết thúc</t>
  </si>
  <si>
    <t>Tự động đảo ngày bắt đầu và kết thúc
Hiển thị tin trong khỏng thời gian được chọn</t>
  </si>
  <si>
    <t>Chọn ngày lớn hơn ngày hiện tại</t>
  </si>
  <si>
    <t>Không cho người dùng chọn</t>
  </si>
  <si>
    <t>Chọn 1 ngày và bỏ trống ngày còn lại</t>
  </si>
  <si>
    <t>Tự động xóa ngày khi click ra ngoài</t>
  </si>
  <si>
    <t>1. Truy cập trang chủ News trên trình duyệt PC.
2. Quan sát thanh tìm kiếm
3. Bấm vào Ngày bắt đầu - Ngày kết thúc
4. Gõ số vào ngày</t>
  </si>
  <si>
    <t>20/02/2025</t>
  </si>
  <si>
    <t>Tự động bôi đậm ngày gõ</t>
  </si>
  <si>
    <t>30/02/2025</t>
  </si>
  <si>
    <t>Không có ngày nên không lấy giá trị</t>
  </si>
  <si>
    <t>30-02-2025</t>
  </si>
  <si>
    <t>Sai định dạng nên không lấy giá trị</t>
  </si>
  <si>
    <t>28/2/2025</t>
  </si>
  <si>
    <t>1. Truy cập trang chủ News trên trình duyệt PC.
2. Quan sát thanh tìm kiếm
3. Bấm vào nút reset</t>
  </si>
  <si>
    <t>Đã điền điều kiện tìm kiếm</t>
  </si>
  <si>
    <t>Xóa các điều kiện tìm kiếm đã điền</t>
  </si>
  <si>
    <t xml:space="preserve">1. Truy cập trang chủ News trên trình duyệt PC.
2. Quan sát thanh tìm kiếm
</t>
  </si>
  <si>
    <t>Không hiển thị nút lưu bộ lọc</t>
  </si>
  <si>
    <t>Chưa đăng nhập tài khoản</t>
  </si>
  <si>
    <t>Hiển thị nút lưu bộ lọc</t>
  </si>
  <si>
    <t>Đã đăng nhập tài khoản và điền bộ lọc</t>
  </si>
  <si>
    <t xml:space="preserve">1. Truy cập trang chủ News trên trình duyệt PC.
2. Quan sát thanh tìm kiếm
3. Bấm nút lưu bộ lọc
</t>
  </si>
  <si>
    <t>Hiển thị pop up lưu bộ lọc</t>
  </si>
  <si>
    <t>Đã hiện pop up lưu bộ lọc</t>
  </si>
  <si>
    <t>1. Quan sát giao diện lưu bộ lọc</t>
  </si>
  <si>
    <t>Tiêu đề là Lưu bộ lọc, bố cục hiển thị cân đối, không bị tràn viền. Hiển thị đủ các chức năng</t>
  </si>
  <si>
    <t>1. Quan sát giao diện lưu bộ lọc
2. Quan sát toggle nhận thông báo</t>
  </si>
  <si>
    <t>Hiển thị mặc định là tắt</t>
  </si>
  <si>
    <t>1. Quan sát giao diện lưu bộ lọc
2. Bấm toggle nhận thông báo</t>
  </si>
  <si>
    <t>Bật chức năng nhận thông báo</t>
  </si>
  <si>
    <t>Đã bấm toggle nhận thông báo</t>
  </si>
  <si>
    <t>Tắt chức năng nhận thông báo</t>
  </si>
  <si>
    <t>1. Quan sát giao diện lưu bộ lọc
2. Quan sát trường tên bộ lọc</t>
  </si>
  <si>
    <t>Hiển thị placeholder là Nhập tên bộ lọc</t>
  </si>
  <si>
    <t>Giao diện lưu bộ lọc</t>
  </si>
  <si>
    <t>Trường tin bộ lọc không được bỏ trống</t>
  </si>
  <si>
    <t>1. Quan sát giao diện lưu bộ lọc
2. Bấm vào trường tên bộ lọc
3. Gõ bất kỳ ký tự nào</t>
  </si>
  <si>
    <t>Được phép gõ toàn bộ ký tự</t>
  </si>
  <si>
    <t>1. Quan sát giao diện lưu bộ lọc
2. Quan sát trường thẻ</t>
  </si>
  <si>
    <t>Hiển thị tất cả các thẻ được điền trong thanh tìm kiếm đã chọn</t>
  </si>
  <si>
    <t>Tìm kiêm tin tức được tính là 1 thẻ</t>
  </si>
  <si>
    <t>Mỗi tỉnh/ thành phố được tính là 1 thẻ riêng biệt bất kể là DVHC cũ hay mới</t>
  </si>
  <si>
    <t>Ngày bắt đầu - ngày kết thúc không được lấy trong lưu bộ lọc</t>
  </si>
  <si>
    <t>Toggle tìm kiếm tắt</t>
  </si>
  <si>
    <t>Toggle tìm kiếm bật</t>
  </si>
  <si>
    <t>Hiển thị là thẻ Tìm kiếm tương đối</t>
  </si>
  <si>
    <t>Hiển thị là thẻ Tìm kiếm chính xác</t>
  </si>
  <si>
    <t>Có nút X bên cạnh các thẻ trừ thẻ của toggle tìm kiếm</t>
  </si>
  <si>
    <t>1. Quan sát giao diện lưu bộ lọc
2. Quan sát trường thẻ
3. Bấm nút x cạnh các thẻ</t>
  </si>
  <si>
    <t>Xóa các thẻ đó khỏi lưu bộ lọc</t>
  </si>
  <si>
    <t>1. Quan sát giao diện lưu bộ lọc
2. Bấm nút hủy</t>
  </si>
  <si>
    <t>Thanh Tìm kiếm</t>
  </si>
  <si>
    <t>Đóng pop up thanh bộ lọc</t>
  </si>
  <si>
    <t>1. Quan sát giao diện lưu bộ lọc
2. Bấm nút Lưu bộ lọc</t>
  </si>
  <si>
    <t>Không điền tên bộ lọc</t>
  </si>
  <si>
    <t>Điền tên bộ lọc</t>
  </si>
  <si>
    <t>Hiện cảnh báo Tên bộ lọc không được để trống</t>
  </si>
  <si>
    <t>Hiện thông báo Tạo bộ lọc thành công và lưu bộ lọc lên thanh tìm kiếm nhanh</t>
  </si>
  <si>
    <t>Không có điều kiện lọc</t>
  </si>
  <si>
    <t>Có 1 điều kiện lọc</t>
  </si>
  <si>
    <t>Có 2 điều kiện lọc</t>
  </si>
  <si>
    <t>Có 3 điều kiện lọc</t>
  </si>
  <si>
    <t>Có 2 điều kiện lọc và bật tìm kiếm chính xác</t>
  </si>
  <si>
    <t>Chuyể̉n sang màn tìm kiếm với tất cả các tin</t>
  </si>
  <si>
    <t>Chuyể̉n sang màn tìm kiếm với các tin có bộ lọc đã chọn</t>
  </si>
  <si>
    <t>Chuyể̉n sang màn tìm kiếm với các tin phải có 2 bộ lọc đã chọn trong bài viết</t>
  </si>
  <si>
    <t>Có 3 điều kiện lọc và bật tìm kiếm chính xác</t>
  </si>
  <si>
    <t>Chuyể̉n sang màn tìm kiếm với các tin phải có 3 bộ lọc đã chọn trong bài viết</t>
  </si>
  <si>
    <t>1. Quan sát Thanh tìm kiếm
2. Bấm nút Tìm kiếm</t>
  </si>
  <si>
    <t>Không lưu bộ lọc hoặc không đăng nhập</t>
  </si>
  <si>
    <t>1. Quan sát Thanh tìm kiếm</t>
  </si>
  <si>
    <t>Không hiển thị thanh tìm kiếm nhanh</t>
  </si>
  <si>
    <t>Hiển thị thanh tìm kiếm nhanh</t>
  </si>
  <si>
    <t>Đăng nhập tài khoản có bộ lọc</t>
  </si>
  <si>
    <t>1. Quan sát Thanh tìm kiếm
2. Quan sát dòng Tìm kiếm nhanh</t>
  </si>
  <si>
    <t>Hiển thị thanh scrool để di chuyển tìm các bộ lọc</t>
  </si>
  <si>
    <t>Đăng nhập tài khoản có nhiều bộ lọc và tên dài</t>
  </si>
  <si>
    <t>Có Nút … để tùy chọn bộ lọc đã lưu</t>
  </si>
  <si>
    <t>1. Quan sát Thanh tìm kiếm
2. Quan sát dòng Tìm kiếm nhanh
3. Nhán nút điều chỉnh bộ lọc</t>
  </si>
  <si>
    <t>Hiện 2 lựa chọn Chỉnh sửa bộ lọc, Xóa bộ lọc</t>
  </si>
  <si>
    <t>1. Quan sát Thanh tìm kiếm
2. Quan sát dòng Tìm kiếm nhanh
3. Nhán nút điều chỉnh bộ lọc
4. Bấm Chỉnh sửa bộ lọc</t>
  </si>
  <si>
    <t>Hiện popup chỉnh sửa bộ lọc của bộ lọc đã chọn</t>
  </si>
  <si>
    <t>Đã mở popup Chỉnh sửa bộ lọc</t>
  </si>
  <si>
    <t>1. Kiểm tra tiêu đề popup</t>
  </si>
  <si>
    <t>Tiêu để hiển thị Chỉnh sửa bộ lọc</t>
  </si>
  <si>
    <t>1. Kiểm tra Toggle nhận thông báo</t>
  </si>
  <si>
    <t>Toggle tắt khi trc đó nguwoif dùng không chọn nhận thông báo cho bộ lọc, Nếu người dùng có tích nhận thông báo thì toggle bật</t>
  </si>
  <si>
    <t>2. Bấm toggle nhận thông báo</t>
  </si>
  <si>
    <t>Đổi sang nhận/ không nhận thông báo</t>
  </si>
  <si>
    <t>1. Kiểm tra trường Tên bộ lọc</t>
  </si>
  <si>
    <t>Hiển thị tên của bộ lọc</t>
  </si>
  <si>
    <t>1. Thay đổi Tên bộ lọc</t>
  </si>
  <si>
    <t>Có́ thể gõ bất kỳ ký tự nào</t>
  </si>
  <si>
    <t>1. Kiểm tra trường Thẻ của bộ lọc</t>
  </si>
  <si>
    <t>Hiển thị đầy đủ các thẻ đã lưu</t>
  </si>
  <si>
    <t xml:space="preserve">1. Kiểm tra các thẻ của tìm kiếm tin tức và danh mục tỉnh/ thành phố </t>
  </si>
  <si>
    <t>Có dấu X để xóa thẻ</t>
  </si>
  <si>
    <t>1. Kiểm tra trường Thẻ của bộ lọc
2. Bấm nút X bên cạnh thẻ</t>
  </si>
  <si>
    <t>Xóa thẻ đã chọn</t>
  </si>
  <si>
    <t>1. Bấm nút hủy</t>
  </si>
  <si>
    <t>Bỏ các thay đổi và đóng popup</t>
  </si>
  <si>
    <t>1.Bấm nút Cập nhật bộ loc</t>
  </si>
  <si>
    <t>Trống tên bộ lọc</t>
  </si>
  <si>
    <t>Có tên bộ lọc</t>
  </si>
  <si>
    <t>Hiện cảnh báo Tên bộ lọc không được để trống</t>
  </si>
  <si>
    <t>Hiện thông báo Chỉnh sửa bộ lọc thành công</t>
  </si>
  <si>
    <t>Màn hình tìm kiếm</t>
  </si>
  <si>
    <t>Kiểm tra giao diện màn hình tìm kiếm</t>
  </si>
  <si>
    <t>Kiểm tra tông quan giao diện màn hình tìm kiếm</t>
  </si>
  <si>
    <t>Đã bấm tìm kiếm ở thanh tìm kiếm</t>
  </si>
  <si>
    <t>1. Quan sát giao diện màn tìm kiếm ở dưới thanh tìm kiếm</t>
  </si>
  <si>
    <t>Bố cục hiển thị cân đối, không bị tràn viền. Hiển thị đủ các chức năng cùa màn tìm kiếm</t>
  </si>
  <si>
    <t>Tìm kiếm không có điều kiện lọc</t>
  </si>
  <si>
    <t>Tìm kiếm có 1 điều kiện lọc</t>
  </si>
  <si>
    <t>Tìm kiếm có 2 điều kiện lọc</t>
  </si>
  <si>
    <t>Tìm kiếm có 3 điều kiện lọc</t>
  </si>
  <si>
    <t>Tìm kiếm có 2 điều kiện lọc và bật tìm kiếm chính xác</t>
  </si>
  <si>
    <t>Tìm kiếm có 3 điều kiện lọc và bật tìm kiếm chính xác</t>
  </si>
  <si>
    <t>Kiểm tra sắp xếp tin tức</t>
  </si>
  <si>
    <t>1. Quan sát tin tức sau khi tìm kiếm</t>
  </si>
  <si>
    <t>Mặc định các tin được sắp xếp từ mới nhất đến cũ</t>
  </si>
  <si>
    <t>1. Quan sát tin tức sau khi tìm kiếm
2. Quan sát Sắp xếp theo</t>
  </si>
  <si>
    <t>Mặc định là Tin đăng mới nhất</t>
  </si>
  <si>
    <t>1. Quan sát tin tức sau khi tìm kiếm
2.Nhấn vào Sắp xếp theo</t>
  </si>
  <si>
    <t>Mở list
Tin đăng mới nhất
Tin đăng cũ nhất</t>
  </si>
  <si>
    <t>1. Quan sát tin tức sau khi tìm kiếm
2.Nhấn vào Sắp xếp theo
3. Nhấn tin đăng mới nhất</t>
  </si>
  <si>
    <t>Đổi sắp xếp tin sang mới nhất đến cũ</t>
  </si>
  <si>
    <t>1. Quan sát tin tức sau khi tìm kiếm
2.Nhấn vào Sắp xếp theo
3. Nhấn tin đăng cũ nhất</t>
  </si>
  <si>
    <t>Đổi sắp xếp tin sang cũ nhất đến mới</t>
  </si>
  <si>
    <t>Kiểm tra chức năng của màn tìm kiếm</t>
  </si>
  <si>
    <t>Kiểm tra tương tác với tin tức</t>
  </si>
  <si>
    <t>1. Quan sát tin tức sau khi tìm kiếm
2.Nhấn vào 1 tin tức bất kỳ</t>
  </si>
  <si>
    <t>Chuyển đến màn xem chi tiết của tin tức</t>
  </si>
  <si>
    <t>Kiểm tra phím chức năng</t>
  </si>
  <si>
    <t>1. Quan sát tin tức sau khi tìm kiếm
2. Scrool vị trí khu vực có bài viết
3 Hover chuột trên nút Lưu tin</t>
  </si>
  <si>
    <t>1. Quan sát tin tức sau khi tìm kiếm
2. Scrool vị trí khu vực có bài viết
3 Bấm nút Lưu tin</t>
  </si>
  <si>
    <t>1. Quan sát tin tức sau khi tìm kiếm
2. Scrool vị trí khu vực có bài viết
3. Chọn bài viết chưa được lưu
4. Bấm nút Lưu tin</t>
  </si>
  <si>
    <t>1. Quan sát tin tức sau khi tìm kiếm
2. Scrool vị trí khu vực có bài viết
3. Chọn bài viết đã được lưu
4. Bấm nút Lưu tin</t>
  </si>
  <si>
    <t>1. Quan sát tin tức sau khi tìm kiếm
2. Scrool vị trí khu vực có bài viết
3 Hover chuột trên nút Chia sẻ lên facebook</t>
  </si>
  <si>
    <t>1. Quan sát tin tức sau khi tìm kiếm
2. Scrool vị trí khu vực có bài viết
3 Hover chuột trên nút Copy đường dẫn</t>
  </si>
  <si>
    <t>1. Quan sát tin tức sau khi tìm kiếm
2. Scrool vị trí khu vực có bài viết
3 Bấm nút Copy đường dẫn</t>
  </si>
  <si>
    <t>Kiểm tra phím chuyển trang</t>
  </si>
  <si>
    <t>1. Quan sát tin tức sau khi tìm kiếm
2. Scrool đến cuối trang tìm kiếm
3 Bấm nút &gt;</t>
  </si>
  <si>
    <t>Chuyển sang trang tiếp theo</t>
  </si>
  <si>
    <t>Ở trang cuối của tìm kiêm</t>
  </si>
  <si>
    <t>Không bấm được</t>
  </si>
  <si>
    <t>Ở trang đầu tiên của tìm kiếm</t>
  </si>
  <si>
    <t>1. Quan sát tin tức sau khi tìm kiếm
2. Scrool đến /,uối trang tìm kiếm
3 Bấm nút &gt;</t>
  </si>
  <si>
    <t>Ở trang khác trang đầu tiên</t>
  </si>
  <si>
    <t>Chuyển sang trang ở trước</t>
  </si>
  <si>
    <t>Kiểm tra thẻ trong bài viết</t>
  </si>
  <si>
    <t>1. Quan sát tin tức sau khi tìm kiếm
2. Bấm vào thẻ của tin tức</t>
  </si>
  <si>
    <t>Chuyển sang trang tìm kiếm của thẻ vừa chọn</t>
  </si>
  <si>
    <t>Chỉ hiển thị tối đa 12 tin 1 trang</t>
  </si>
  <si>
    <t>Tìm kiếm với bộ lọc không có tin</t>
  </si>
  <si>
    <t>Hiện thông báo LandBase chưa tìm được bài viết liên quan đến bộ lọc</t>
  </si>
  <si>
    <t>a</t>
  </si>
  <si>
    <t>Tìm kiếm với bộ lọc có tin</t>
  </si>
  <si>
    <t>Hiển thị các tin có bộ lọc được tìm kiếm</t>
  </si>
  <si>
    <t>1. Quan sát tổng thể giao diện của màn xem chi tiết</t>
  </si>
  <si>
    <t>1. Thiết lập độ phân giải màn hình thành 1920x1080
2. Quan sát tổng thể giao diện của màn xem chi tiết</t>
  </si>
  <si>
    <t>1. Thiết lập độ phân giải màn hình thành 1280x720
2. Quan sát tổng thể giao diện của màn xem chi tiết</t>
  </si>
  <si>
    <t>1. Thiết lập độ phân giải màn hình thành 1440x768
2. Quan sát tổng thể giao diện của màn xem chi tiết</t>
  </si>
  <si>
    <t>Kiểm tra tiêu đề của tab tin tức</t>
  </si>
  <si>
    <t>1. Quan sát tab của tin tức vừa mở</t>
  </si>
  <si>
    <t>Hiện tiêu đề vủa bài viết trong tiêu đề của tab</t>
  </si>
  <si>
    <t>Đã nhấn vào tin tức từ trang chủ hoặc tìm kiếm</t>
  </si>
  <si>
    <t>Đã nhấn vào tin tức từ trang chủ hoặc tìm kiếm và nhán vào 1 tin khácc</t>
  </si>
  <si>
    <t xml:space="preserve">Hiện tiêu đề vủa bài viết trong tiêu đề của tab </t>
  </si>
  <si>
    <t>1. Quan sát tab của tin tức khác mới mở</t>
  </si>
  <si>
    <t>Kiểm tra nội dung màn xem chi tiết</t>
  </si>
  <si>
    <t>K</t>
  </si>
  <si>
    <t>Kiểm tra giao diện</t>
  </si>
  <si>
    <t>Kiểm tra tiêu đề tin tức</t>
  </si>
  <si>
    <t>1. Quan sát tiêu đề của tin tức</t>
  </si>
  <si>
    <t>Kiểm tra nội dùng bài viêt</t>
  </si>
  <si>
    <t>Kiểm tra Lead của tin tức</t>
  </si>
  <si>
    <t>1. Quan sát lead của tin tức</t>
  </si>
  <si>
    <t>Hiển thị tiêu đề của bài viết giống với bài viết gốc</t>
  </si>
  <si>
    <t>Hiển thị lead của bài viết giống với bài viết gốc</t>
  </si>
  <si>
    <t>Kiểm tra Thời gian đăng của tin tức</t>
  </si>
  <si>
    <t xml:space="preserve">1. Quan sát thời gian tin tức thời gian được đâng                                                                                                                                </t>
  </si>
  <si>
    <t>Hiển thị thời gian tin được lên news</t>
  </si>
  <si>
    <t>Kiểm tra nội dung tin tức được crawl về</t>
  </si>
  <si>
    <t>Bài viết crawl được toàn bộ nội dung</t>
  </si>
  <si>
    <t>1. Quan sát nội dung của bài viết được crawl về</t>
  </si>
  <si>
    <t>Hiển thị nội dung bài viết đầy đủ và giống với bài viết gốc</t>
  </si>
  <si>
    <t>Kiểm tra Hình ảnh crawl được</t>
  </si>
  <si>
    <t>1. Quan sát ảnh được crawl về của bài viết nếu có</t>
  </si>
  <si>
    <t>Hiển thị được hình ảnh giống với bài viết gốc</t>
  </si>
  <si>
    <t>Kiểm tra Đường link  liên kết</t>
  </si>
  <si>
    <t>1. Quan sát đường link liên kết có trong bài viết nấu có
2. Bấm vào liên kết</t>
  </si>
  <si>
    <t>Mở link hướng đến trang được liên kết trong thẻ mới</t>
  </si>
  <si>
    <t>Kiểm tra lượt đọc của bài viết</t>
  </si>
  <si>
    <t>Vào bài viết lần đầu trên 1 thiết bị</t>
  </si>
  <si>
    <t>1. Đợi 15 phút rồi refresh lại trang
2. Quan sát lượt đọc của bài viết</t>
  </si>
  <si>
    <t xml:space="preserve">Lượt đọc tăng lên 1 </t>
  </si>
  <si>
    <t>Đã vào bài viết lần đầu trên cùng 1 thiết bị</t>
  </si>
  <si>
    <t>Lượt đọc không tăng lên</t>
  </si>
  <si>
    <t>Kiểm tra link nguồn</t>
  </si>
  <si>
    <t>1. Quan sát nguồn của tin tức</t>
  </si>
  <si>
    <t>Hiển thị nguồn của bài viết đúng với nguồn vủa bài viết</t>
  </si>
  <si>
    <t>1. Quan sát nguồn của tin tức
2. Bấm vào tên nguồn</t>
  </si>
  <si>
    <t>Mở tab mới của nguồn tin tức</t>
  </si>
  <si>
    <t>Kiểm tra tin tức liên quan</t>
  </si>
  <si>
    <t>1. Kéo xuống phần tin tức liên quan
2. Quan sát phần tin tức liên quan</t>
  </si>
  <si>
    <t>Hiển thị 3 tin tức liên quan, Hiển thị các tin có cùng hoặc tương đương thẻ với bài viết đang xem</t>
  </si>
  <si>
    <t>1. Kéo xuống phần tin tức liên quan
2. Quan sát phần tin tức liên quan
3. Bấm nút Xem tất cả</t>
  </si>
  <si>
    <t>Mở màn tìm kiếm tìm kiếm tương đối các thẻ của bài viết</t>
  </si>
  <si>
    <t>Mở màn xem chi tiết của tin tức được bấm</t>
  </si>
  <si>
    <t>1. Kéo xuống phần tin tức liên quan
2. Quan sát phần tin tức liên quan
3. Bấm 1 tin trong 3 tin ở tin tức liên quan</t>
  </si>
  <si>
    <t>1. Kéo xuống phần tin tức liên quan
2. Quan sát phần tin tức liên quan
3. Quan sát thẻ trong tin tức ở tin liên quan
4. Bấm vào thẻ của tin tức liên quan</t>
  </si>
  <si>
    <t>Mở màn tìm kiếm tìm kiếm với thẻ được chọn</t>
  </si>
  <si>
    <t>Tin nhiều người đọc</t>
  </si>
  <si>
    <t>1. Quan sát Tin nhiều người đọc</t>
  </si>
  <si>
    <t>Hiển thị tiêu đề</t>
  </si>
  <si>
    <t>Hiển thị 5 tin có lượt đọc nhiều nhất trong 1 tuần</t>
  </si>
  <si>
    <t>1. Quan sát Tin nhiều người đọc
2. Bấm vào tên trong 5 bài viết</t>
  </si>
  <si>
    <t>Mở tới màn xem chi tiết của tin được chọn</t>
  </si>
  <si>
    <t>Quy hoạch</t>
  </si>
  <si>
    <t>1. Quan sát Quy hoạch</t>
  </si>
  <si>
    <t>Không có thẻ phường/xã</t>
  </si>
  <si>
    <t>Hiển thị tiêu đề là Quy hoạch</t>
  </si>
  <si>
    <t>Hiển thị "Quy hoạch" + thành phố/tỉnh của thẻ phường xã có trong bài viết</t>
  </si>
  <si>
    <t>Có 1 thẻ phường/xã</t>
  </si>
  <si>
    <t>Có nhiều thẻ tỉnh/ thành phố</t>
  </si>
  <si>
    <t>Hiển thị "Quy hoạch" + thành phố/tỉnh của thẻ phường xã cuối cùng trong bài viết</t>
  </si>
  <si>
    <t>Có thẻ tỉnh/ thành phố</t>
  </si>
  <si>
    <t>Hiển thị 5 phường/ xã của tỉnh/thành phố của bài viết</t>
  </si>
  <si>
    <t>1. Quan sát Quy hoạch
2. Bấm xem thêm</t>
  </si>
  <si>
    <t>Hiển thị tất cả xã/ phường của tỉnh/ thành phố trong bài viết</t>
  </si>
  <si>
    <t>1. Quan sát Quy hoạch
2. Bấm vào Quy hoạch phường/ xã</t>
  </si>
  <si>
    <t>Chuyển đến vị trí của phường/ xã được chọn trên trang BĐS360</t>
  </si>
  <si>
    <t>1. Quan sát Quy hoạch
2. Bấm xem thêm
3. Bấm vào Quy hoạch phường/ xã</t>
  </si>
  <si>
    <t>Không có thẻ tỉnh/ thành phố</t>
  </si>
  <si>
    <t>Hiển thị ở dưới tiêu đề là quy hoạch các tỉnh/ thành phố theo thứ tự từ thành phố đến tỉnh</t>
  </si>
  <si>
    <t>Hiển thị thêm tất cả tỉnh/thành phố</t>
  </si>
  <si>
    <t>1. Quan sát Quy hoạch
2. Bấm xem thêm
3. Bấm vào Quy hoạch tỉnh/ thành phố</t>
  </si>
  <si>
    <t>Đã bấm xem thêm</t>
  </si>
  <si>
    <t>1. Quan sát Quy hoạch
2. Bấm Thu gọn</t>
  </si>
  <si>
    <t>Chuyển số lượng thành 5 quy hoạch</t>
  </si>
  <si>
    <t>Tin rao vặt</t>
  </si>
  <si>
    <t>Hiển thị "Tin rao vặt" + thành phố/tỉnh của thẻ phường xã có trong bài viết</t>
  </si>
  <si>
    <t>1. Quan sát Tin rao vặt</t>
  </si>
  <si>
    <t>Hiển thị "Tin rao vặt" + thành phố/tỉnh của thẻ phường xã cuối cùng trong bài viết</t>
  </si>
  <si>
    <t>Hiển thị tiêu đề là Tin rao vặt</t>
  </si>
  <si>
    <t>1. Quan sát Tin rao vặt
2. Bấm xem thêm</t>
  </si>
  <si>
    <t>1. Quan sát Tin rao vặt
2. Bấm vào Tin rao vặt phường/ xã</t>
  </si>
  <si>
    <t>1. Quan sát Tin rao vặt
2. Bấm xem thêm
3. Bấm vào Tin rao vặt phường/ xã</t>
  </si>
  <si>
    <t>Hiển thị ở dưới tiêu đề là Tin rao vặt các tỉnh/ thành phố theo thứ tự từ thành phố đến tỉnh</t>
  </si>
  <si>
    <t>1. Quan sát Tin rao vặt
2. Bấm xem thêm
3. Bấm vào Tin rao vặt tỉnh/ thành phố</t>
  </si>
  <si>
    <t>1. Quan sát Tin rao vặt
2. Bấm Thu gọn</t>
  </si>
  <si>
    <t>Chuyển số lượng thành 5 Tin rao vặt</t>
  </si>
  <si>
    <t>Chuyển đến vị trí của phường/ xã được chọn trên trang BĐS360 và mở sẵn tab tin tức</t>
  </si>
  <si>
    <t>Lịch sử giá</t>
  </si>
  <si>
    <t>1. Quan sát Lịch sử giá</t>
  </si>
  <si>
    <t>Hiển thị "Lịch sử giá" + thành phố/tỉnh của thẻ phường xã có trong bài viết</t>
  </si>
  <si>
    <t>Hiển thị "Lịch sử giá" + thành phố/tỉnh của thẻ phường xã cuối cùng trong bài viết</t>
  </si>
  <si>
    <t>Hiển thị tiêu đề là Lịch sử giá</t>
  </si>
  <si>
    <t>1. Quan sát Lịch sử giá
2. Bấm xem thêm</t>
  </si>
  <si>
    <t>1. Quan sát Lịch sử giá
2. Bấm vào Lịch sử giá phường/ xã</t>
  </si>
  <si>
    <t>1. Quan sát Lịch sử giá
2. Bấm xem thêm
3. Bấm vào Lịch sử giá phường/ xã</t>
  </si>
  <si>
    <t>Hiển thị ở dưới tiêu đề là Lịch sử giá các tỉnh/ thành phố theo thứ tự từ thành phố đến tỉnh</t>
  </si>
  <si>
    <t>1. Quan sát Lịch sử giá
2. Bấm xem thêm
3. Bấm vào Lịch sử giá tỉnh/ thành phố</t>
  </si>
  <si>
    <t>1. Quan sát Lịch sử giá
2. Bấm Thu gọn</t>
  </si>
  <si>
    <t>Chuyển số lượng thành 5 Lịch sử giá</t>
  </si>
  <si>
    <t>Chuyển đến vị trí của tỉnh/thành phố được chọn trên trang BĐS360 và mở sẵn tab thông tin chung</t>
  </si>
  <si>
    <t>Chuyển đến vị trí của phường/ xã được chọn trên trang BĐS360 và mở sẵn tab thông tin chung</t>
  </si>
  <si>
    <t>Bài viết tự động điều chuyển hướng</t>
  </si>
  <si>
    <t>Kiểm tra nội dung</t>
  </si>
  <si>
    <t>1. Quan sát thân của bài viết</t>
  </si>
  <si>
    <t>Hiển thị "Sẽ chuyển hướng đến bài viết trong 3s…" và số thời gian giảm dần</t>
  </si>
  <si>
    <t>Đợi 3s</t>
  </si>
  <si>
    <t>Tự động mở trang nguồn của tin đó trong tab mới</t>
  </si>
  <si>
    <t>Hiện thêm dòng "Bấm vào đây nếu không tự động chuyển hướng"</t>
  </si>
  <si>
    <t>Đã đợi 3s</t>
  </si>
  <si>
    <t>1. Quan sát thân của bài viết
2. Click vào dòng "Bấm vào đây nếu không tự động chuyển hướng"</t>
  </si>
  <si>
    <t>Mở trang nguồn của tin đó trong tab mới</t>
  </si>
  <si>
    <t>Tin tức liên quan</t>
  </si>
  <si>
    <t>Chức năng sidebar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</si>
</sst>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1"/>
      <color theme="1"/>
      <name val="Arial"/>
      <family val="2"/>
      <scheme val="minor"/>
    </font>
    <font>
      <sz val="10"/>
      <color theme="1"/>
      <name val="Arial"/>
    </font>
    <font>
      <b/>
      <sz val="16"/>
      <name val="Times New Roman"/>
      <family val="1"/>
    </font>
    <font>
      <sz val="16"/>
      <name val="Times New Roman"/>
      <family val="1"/>
    </font>
    <font>
      <b/>
      <sz val="11"/>
      <name val="Times New Roman"/>
      <family val="1"/>
    </font>
    <font>
      <b/>
      <sz val="11"/>
      <color rgb="FFFF0000"/>
      <name val="Times New Roman"/>
      <family val="1"/>
    </font>
    <font>
      <b/>
      <sz val="11"/>
      <color rgb="FF333333"/>
      <name val="Times New Roman"/>
      <family val="1"/>
    </font>
    <font>
      <sz val="11"/>
      <name val="Times New Roman"/>
      <family val="1"/>
    </font>
    <font>
      <i/>
      <sz val="9"/>
      <name val="Times New Roman"/>
      <family val="1"/>
    </font>
    <font>
      <b/>
      <sz val="11"/>
      <color theme="1"/>
      <name val="Times New Roman"/>
      <family val="1"/>
    </font>
    <font>
      <i/>
      <sz val="9"/>
      <color theme="1"/>
      <name val="Times New Roman"/>
      <family val="1"/>
    </font>
    <font>
      <sz val="9"/>
      <name val="Times New Roman"/>
      <family val="1"/>
    </font>
    <font>
      <b/>
      <sz val="11"/>
      <color theme="1"/>
      <name val="Arial"/>
      <family val="2"/>
      <scheme val="minor"/>
    </font>
    <font>
      <b/>
      <sz val="10"/>
      <color theme="1"/>
      <name val="Arial"/>
      <family val="2"/>
    </font>
    <font>
      <b/>
      <sz val="10"/>
      <name val="Arial"/>
      <family val="2"/>
    </font>
    <font>
      <b/>
      <sz val="11"/>
      <name val="Arial"/>
      <family val="2"/>
      <scheme val="minor"/>
    </font>
    <font>
      <sz val="11"/>
      <name val="Arial"/>
      <family val="2"/>
      <scheme val="minor"/>
    </font>
  </fonts>
  <fills count="8">
    <fill>
      <patternFill patternType="none"/>
    </fill>
    <fill>
      <patternFill patternType="gray125"/>
    </fill>
    <fill>
      <patternFill patternType="solid">
        <fgColor indexed="9"/>
        <bgColor indexed="64"/>
      </patternFill>
    </fill>
    <fill>
      <patternFill patternType="solid">
        <fgColor theme="4" tint="0.39997558519241921"/>
        <bgColor indexed="64"/>
      </patternFill>
    </fill>
    <fill>
      <patternFill patternType="solid">
        <fgColor theme="9"/>
        <bgColor indexed="64"/>
      </patternFill>
    </fill>
    <fill>
      <patternFill patternType="solid">
        <fgColor theme="2"/>
        <bgColor rgb="FF38761D"/>
      </patternFill>
    </fill>
    <fill>
      <patternFill patternType="solid">
        <fgColor theme="9"/>
        <bgColor rgb="FF38761D"/>
      </patternFill>
    </fill>
    <fill>
      <patternFill patternType="solid">
        <fgColor rgb="FFFFFF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1" fillId="0" borderId="1" xfId="0" applyFont="1" applyBorder="1" applyAlignment="1">
      <alignment vertical="top" wrapText="1"/>
    </xf>
    <xf numFmtId="0" fontId="0" fillId="0" borderId="0" xfId="0" applyAlignment="1">
      <alignment wrapText="1"/>
    </xf>
    <xf numFmtId="0" fontId="4" fillId="2" borderId="12" xfId="0" applyFont="1" applyFill="1" applyBorder="1" applyAlignment="1">
      <alignment vertical="center" wrapText="1"/>
    </xf>
    <xf numFmtId="0" fontId="5" fillId="0" borderId="13" xfId="0" applyFont="1" applyBorder="1" applyAlignment="1">
      <alignment horizontal="center" vertical="center" wrapText="1"/>
    </xf>
    <xf numFmtId="0" fontId="0" fillId="0" borderId="0" xfId="0" applyAlignment="1">
      <alignment vertical="center" wrapText="1"/>
    </xf>
    <xf numFmtId="0" fontId="6" fillId="0" borderId="0" xfId="0" applyFont="1" applyAlignment="1">
      <alignment horizontal="right" vertical="center" wrapText="1"/>
    </xf>
    <xf numFmtId="0" fontId="4" fillId="2" borderId="0" xfId="0" applyFont="1" applyFill="1" applyAlignment="1">
      <alignment vertical="center" wrapText="1"/>
    </xf>
    <xf numFmtId="0" fontId="7" fillId="0" borderId="0" xfId="0" applyFont="1" applyAlignment="1">
      <alignment horizontal="center" vertical="center" wrapText="1"/>
    </xf>
    <xf numFmtId="0" fontId="4" fillId="3" borderId="13"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0" fillId="0" borderId="0" xfId="0" applyAlignment="1">
      <alignment vertical="top" wrapText="1"/>
    </xf>
    <xf numFmtId="0" fontId="1" fillId="0" borderId="0" xfId="0" applyFont="1" applyAlignment="1">
      <alignment vertical="top" wrapText="1"/>
    </xf>
    <xf numFmtId="0" fontId="0" fillId="0" borderId="0" xfId="0" applyAlignment="1">
      <alignment horizontal="left" wrapText="1"/>
    </xf>
    <xf numFmtId="49" fontId="0" fillId="0" borderId="0" xfId="0" applyNumberFormat="1" applyAlignment="1">
      <alignment wrapText="1"/>
    </xf>
    <xf numFmtId="0" fontId="0" fillId="0" borderId="13" xfId="0" applyBorder="1" applyAlignment="1">
      <alignment wrapText="1"/>
    </xf>
    <xf numFmtId="0" fontId="4" fillId="2" borderId="13" xfId="0" applyFont="1" applyFill="1" applyBorder="1" applyAlignment="1">
      <alignment vertical="center" wrapText="1"/>
    </xf>
    <xf numFmtId="0" fontId="0" fillId="0" borderId="13" xfId="0" applyBorder="1" applyAlignment="1">
      <alignment vertical="center" wrapText="1"/>
    </xf>
    <xf numFmtId="0" fontId="6" fillId="0" borderId="13" xfId="0" applyFont="1" applyBorder="1" applyAlignment="1">
      <alignment horizontal="right" vertical="center" wrapText="1"/>
    </xf>
    <xf numFmtId="0" fontId="7" fillId="0" borderId="13" xfId="0" applyFont="1" applyBorder="1" applyAlignment="1">
      <alignment horizontal="center" vertical="center" wrapText="1"/>
    </xf>
    <xf numFmtId="0" fontId="1" fillId="0" borderId="13" xfId="0" applyFont="1" applyBorder="1" applyAlignment="1">
      <alignment vertical="top" wrapText="1"/>
    </xf>
    <xf numFmtId="0" fontId="0" fillId="0" borderId="13" xfId="0" applyBorder="1" applyAlignment="1">
      <alignment vertical="top" wrapText="1"/>
    </xf>
    <xf numFmtId="0" fontId="2" fillId="2" borderId="13" xfId="0" applyFont="1" applyFill="1" applyBorder="1" applyAlignment="1">
      <alignment horizontal="left" vertical="center" wrapText="1"/>
    </xf>
    <xf numFmtId="0" fontId="4" fillId="2" borderId="13" xfId="0" applyFont="1" applyFill="1" applyBorder="1" applyAlignment="1">
      <alignment vertical="center" wrapText="1"/>
    </xf>
    <xf numFmtId="0" fontId="0" fillId="7" borderId="13" xfId="0" applyFill="1" applyBorder="1" applyAlignment="1">
      <alignment horizontal="left" wrapText="1"/>
    </xf>
    <xf numFmtId="0" fontId="4" fillId="4" borderId="13" xfId="0" applyFont="1" applyFill="1" applyBorder="1" applyAlignment="1">
      <alignment horizontal="left" vertical="center" wrapText="1"/>
    </xf>
    <xf numFmtId="0" fontId="0" fillId="4" borderId="13" xfId="0" applyFill="1" applyBorder="1" applyAlignment="1">
      <alignment horizontal="left" wrapText="1"/>
    </xf>
    <xf numFmtId="0" fontId="15" fillId="4" borderId="3" xfId="0" applyFont="1" applyFill="1" applyBorder="1" applyAlignment="1">
      <alignment horizontal="left" vertical="center" wrapText="1"/>
    </xf>
    <xf numFmtId="0" fontId="14" fillId="6" borderId="0" xfId="0" applyFont="1" applyFill="1" applyAlignment="1">
      <alignment horizontal="left" vertical="top" wrapText="1"/>
    </xf>
    <xf numFmtId="0" fontId="13" fillId="5" borderId="0" xfId="0" applyFont="1" applyFill="1" applyAlignment="1">
      <alignment horizontal="left" vertical="top" wrapText="1"/>
    </xf>
    <xf numFmtId="0" fontId="12" fillId="4" borderId="0" xfId="0" applyFont="1" applyFill="1" applyAlignment="1">
      <alignment horizontal="left"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9" xfId="0" applyFont="1" applyFill="1" applyBorder="1" applyAlignment="1">
      <alignment horizontal="left" vertical="center" wrapText="1"/>
    </xf>
    <xf numFmtId="0" fontId="4" fillId="2" borderId="10" xfId="0" applyFont="1" applyFill="1" applyBorder="1" applyAlignment="1">
      <alignment vertical="center" wrapText="1"/>
    </xf>
    <xf numFmtId="0" fontId="4" fillId="2" borderId="11" xfId="0" applyFont="1" applyFill="1" applyBorder="1" applyAlignment="1">
      <alignment vertical="center" wrapText="1"/>
    </xf>
    <xf numFmtId="0" fontId="4" fillId="2" borderId="12" xfId="0" applyFont="1" applyFill="1" applyBorder="1" applyAlignment="1">
      <alignment vertical="center" wrapText="1"/>
    </xf>
    <xf numFmtId="0" fontId="16" fillId="4" borderId="3" xfId="0" applyFont="1" applyFill="1" applyBorder="1" applyAlignment="1">
      <alignment horizontal="left" wrapText="1"/>
    </xf>
    <xf numFmtId="0" fontId="4" fillId="4" borderId="3" xfId="0" applyFont="1" applyFill="1" applyBorder="1" applyAlignment="1">
      <alignment horizontal="left" vertical="center" wrapText="1"/>
    </xf>
    <xf numFmtId="0" fontId="0" fillId="4" borderId="0" xfId="0" applyFill="1" applyAlignment="1">
      <alignment horizontal="left" wrapText="1"/>
    </xf>
  </cellXfs>
  <cellStyles count="1">
    <cellStyle name="Normal" xfId="0" builtinId="0"/>
  </cellStyles>
  <dxfs count="0"/>
  <tableStyles count="1" defaultTableStyle="TableStyleMedium2" defaultPivotStyle="PivotStyleLight16">
    <tableStyle name="Invisible" pivot="0" table="0" count="0" xr9:uid="{95FE3160-917E-4B03-A40C-AC91B1DAFC4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6"/>
  <sheetViews>
    <sheetView topLeftCell="E1" workbookViewId="0">
      <selection activeCell="H71" sqref="H71"/>
    </sheetView>
  </sheetViews>
  <sheetFormatPr defaultRowHeight="13.8" x14ac:dyDescent="0.25"/>
  <cols>
    <col min="1" max="1" width="18.796875" style="2" customWidth="1"/>
    <col min="2" max="2" width="24.296875" style="2" customWidth="1"/>
    <col min="3" max="4" width="26.59765625" style="2" customWidth="1"/>
    <col min="5" max="5" width="53.59765625" style="2" customWidth="1"/>
    <col min="6" max="6" width="23.3984375" style="2" customWidth="1"/>
    <col min="7" max="7" width="31.296875" style="2" customWidth="1"/>
    <col min="8" max="8" width="13.3984375" style="2" customWidth="1"/>
    <col min="9" max="9" width="19.09765625" style="2" customWidth="1"/>
    <col min="10" max="10" width="23.3984375" style="2" customWidth="1"/>
    <col min="11" max="11" width="29.3984375" style="2" customWidth="1"/>
    <col min="12" max="16384" width="8.796875" style="2"/>
  </cols>
  <sheetData>
    <row r="1" spans="1:11" x14ac:dyDescent="0.25">
      <c r="A1" s="31" t="s">
        <v>16</v>
      </c>
      <c r="B1" s="32"/>
      <c r="C1" s="32"/>
      <c r="D1" s="32"/>
      <c r="E1" s="33"/>
    </row>
    <row r="2" spans="1:11" x14ac:dyDescent="0.25">
      <c r="A2" s="34"/>
      <c r="B2" s="35"/>
      <c r="C2" s="35"/>
      <c r="D2" s="35"/>
      <c r="E2" s="36"/>
    </row>
    <row r="3" spans="1:11" x14ac:dyDescent="0.25">
      <c r="A3" s="37"/>
      <c r="B3" s="38"/>
      <c r="C3" s="38"/>
      <c r="D3" s="38"/>
      <c r="E3" s="39"/>
    </row>
    <row r="4" spans="1:11" x14ac:dyDescent="0.25">
      <c r="A4" s="40" t="s">
        <v>3</v>
      </c>
      <c r="B4" s="41"/>
      <c r="C4" s="42"/>
      <c r="D4" s="3"/>
      <c r="E4" s="4">
        <f>COUNTIF(H13:H434,"PASS")</f>
        <v>0</v>
      </c>
      <c r="F4" s="5"/>
      <c r="G4" s="5"/>
      <c r="H4" s="5"/>
      <c r="I4" s="5"/>
      <c r="J4" s="5"/>
      <c r="K4" s="5"/>
    </row>
    <row r="5" spans="1:11" x14ac:dyDescent="0.25">
      <c r="A5" s="40" t="s">
        <v>4</v>
      </c>
      <c r="B5" s="41"/>
      <c r="C5" s="42"/>
      <c r="D5" s="3"/>
      <c r="E5" s="4">
        <f>COUNTIF(H13:H434,"FAIL")</f>
        <v>0</v>
      </c>
      <c r="F5" s="5"/>
      <c r="G5" s="5"/>
      <c r="H5" s="5"/>
      <c r="I5" s="5"/>
      <c r="J5" s="5"/>
      <c r="K5" s="5"/>
    </row>
    <row r="6" spans="1:11" x14ac:dyDescent="0.25">
      <c r="A6" s="40" t="s">
        <v>5</v>
      </c>
      <c r="B6" s="41"/>
      <c r="C6" s="42"/>
      <c r="D6" s="3"/>
      <c r="E6" s="4">
        <f>COUNTIF(H13:H434,"Pending")</f>
        <v>0</v>
      </c>
      <c r="F6" s="5"/>
      <c r="G6" s="5"/>
      <c r="H6" s="5"/>
      <c r="I6" s="5"/>
      <c r="J6" s="5"/>
      <c r="K6" s="5"/>
    </row>
    <row r="7" spans="1:11" x14ac:dyDescent="0.25">
      <c r="A7" s="40" t="s">
        <v>0</v>
      </c>
      <c r="B7" s="41"/>
      <c r="C7" s="42"/>
      <c r="D7" s="3"/>
      <c r="E7" s="4">
        <f>COUNTA(H13:H434)</f>
        <v>0</v>
      </c>
      <c r="F7" s="5"/>
      <c r="G7" s="5"/>
      <c r="H7" s="5"/>
      <c r="I7" s="5"/>
      <c r="J7" s="5"/>
      <c r="K7" s="5"/>
    </row>
    <row r="8" spans="1:11" x14ac:dyDescent="0.25">
      <c r="A8" s="6"/>
      <c r="B8" s="7"/>
      <c r="C8" s="7"/>
      <c r="D8" s="7"/>
      <c r="E8" s="7"/>
      <c r="F8" s="8"/>
      <c r="G8" s="8"/>
      <c r="H8" s="8"/>
      <c r="I8" s="8"/>
      <c r="J8" s="8"/>
      <c r="K8" s="8"/>
    </row>
    <row r="9" spans="1:11" ht="37.799999999999997" x14ac:dyDescent="0.25">
      <c r="A9" s="9" t="s">
        <v>6</v>
      </c>
      <c r="B9" s="9" t="s">
        <v>7</v>
      </c>
      <c r="C9" s="9" t="s">
        <v>8</v>
      </c>
      <c r="D9" s="9" t="s">
        <v>37</v>
      </c>
      <c r="E9" s="9" t="s">
        <v>9</v>
      </c>
      <c r="F9" s="9" t="s">
        <v>10</v>
      </c>
      <c r="G9" s="9" t="s">
        <v>11</v>
      </c>
      <c r="H9" s="9" t="s">
        <v>12</v>
      </c>
      <c r="I9" s="9" t="s">
        <v>13</v>
      </c>
      <c r="J9" s="9" t="s">
        <v>14</v>
      </c>
      <c r="K9" s="10" t="s">
        <v>15</v>
      </c>
    </row>
    <row r="10" spans="1:11" ht="27.6" customHeight="1" x14ac:dyDescent="0.25">
      <c r="A10" s="27" t="s">
        <v>1</v>
      </c>
      <c r="B10" s="27"/>
      <c r="C10" s="27"/>
      <c r="D10" s="27"/>
      <c r="E10" s="27"/>
      <c r="F10" s="27"/>
      <c r="G10" s="27"/>
      <c r="H10" s="27"/>
      <c r="I10" s="27"/>
      <c r="J10" s="27"/>
      <c r="K10" s="27"/>
    </row>
    <row r="11" spans="1:11" ht="220.8" x14ac:dyDescent="0.25">
      <c r="B11" s="1" t="s">
        <v>17</v>
      </c>
      <c r="C11" s="1" t="s">
        <v>18</v>
      </c>
      <c r="D11" s="12"/>
      <c r="E11" s="11" t="s">
        <v>21</v>
      </c>
      <c r="G11" s="11" t="s">
        <v>20</v>
      </c>
    </row>
    <row r="12" spans="1:11" ht="41.4" x14ac:dyDescent="0.25">
      <c r="B12" s="1" t="s">
        <v>17</v>
      </c>
      <c r="C12" s="2" t="s">
        <v>22</v>
      </c>
      <c r="E12" s="2" t="s">
        <v>19</v>
      </c>
      <c r="G12" s="11" t="s">
        <v>20</v>
      </c>
    </row>
    <row r="13" spans="1:11" ht="41.4" x14ac:dyDescent="0.25">
      <c r="B13" s="1" t="s">
        <v>17</v>
      </c>
      <c r="C13" s="2" t="s">
        <v>23</v>
      </c>
      <c r="E13" s="2" t="s">
        <v>19</v>
      </c>
      <c r="G13" s="11" t="s">
        <v>20</v>
      </c>
    </row>
    <row r="14" spans="1:11" ht="41.4" x14ac:dyDescent="0.25">
      <c r="B14" s="1" t="s">
        <v>17</v>
      </c>
      <c r="C14" s="2" t="s">
        <v>24</v>
      </c>
      <c r="E14" s="2" t="s">
        <v>19</v>
      </c>
      <c r="G14" s="11" t="s">
        <v>20</v>
      </c>
    </row>
    <row r="15" spans="1:11" ht="19.8" customHeight="1" x14ac:dyDescent="0.25">
      <c r="A15" s="28" t="s">
        <v>25</v>
      </c>
      <c r="B15" s="28"/>
      <c r="C15" s="28"/>
      <c r="D15" s="28"/>
      <c r="E15" s="28"/>
      <c r="F15" s="28"/>
      <c r="G15" s="28"/>
      <c r="H15" s="28"/>
      <c r="I15" s="28"/>
      <c r="J15" s="28"/>
      <c r="K15" s="28"/>
    </row>
    <row r="16" spans="1:11" ht="21" customHeight="1" x14ac:dyDescent="0.25">
      <c r="A16" s="29" t="s">
        <v>109</v>
      </c>
      <c r="B16" s="29"/>
      <c r="C16" s="29"/>
      <c r="D16" s="29"/>
      <c r="E16" s="29"/>
      <c r="F16" s="29"/>
      <c r="G16" s="29"/>
      <c r="H16" s="29"/>
      <c r="I16" s="29"/>
      <c r="J16" s="29"/>
      <c r="K16" s="29"/>
    </row>
    <row r="17" spans="2:7" ht="27.6" x14ac:dyDescent="0.25">
      <c r="B17" s="12" t="s">
        <v>26</v>
      </c>
      <c r="C17" s="2" t="s">
        <v>27</v>
      </c>
      <c r="E17" s="13" t="s">
        <v>40</v>
      </c>
      <c r="G17" s="11" t="s">
        <v>41</v>
      </c>
    </row>
    <row r="18" spans="2:7" ht="41.4" x14ac:dyDescent="0.25">
      <c r="B18" s="12"/>
      <c r="C18" s="2" t="s">
        <v>27</v>
      </c>
      <c r="E18" s="13" t="s">
        <v>42</v>
      </c>
      <c r="G18" s="11" t="s">
        <v>44</v>
      </c>
    </row>
    <row r="19" spans="2:7" ht="41.4" x14ac:dyDescent="0.25">
      <c r="B19" s="12"/>
      <c r="C19" s="2" t="s">
        <v>27</v>
      </c>
      <c r="E19" s="13" t="s">
        <v>43</v>
      </c>
      <c r="G19" s="11" t="s">
        <v>45</v>
      </c>
    </row>
    <row r="20" spans="2:7" ht="27.6" x14ac:dyDescent="0.25">
      <c r="B20" s="12"/>
      <c r="C20" s="2" t="s">
        <v>28</v>
      </c>
      <c r="E20" s="13" t="s">
        <v>46</v>
      </c>
      <c r="G20" s="11" t="s">
        <v>41</v>
      </c>
    </row>
    <row r="21" spans="2:7" ht="41.4" x14ac:dyDescent="0.25">
      <c r="B21" s="12"/>
      <c r="C21" s="2" t="s">
        <v>28</v>
      </c>
      <c r="E21" s="13" t="s">
        <v>47</v>
      </c>
      <c r="G21" s="11" t="s">
        <v>44</v>
      </c>
    </row>
    <row r="22" spans="2:7" ht="41.4" x14ac:dyDescent="0.25">
      <c r="B22" s="12" t="s">
        <v>26</v>
      </c>
      <c r="C22" s="2" t="s">
        <v>28</v>
      </c>
      <c r="E22" s="13" t="s">
        <v>48</v>
      </c>
      <c r="G22" s="11" t="s">
        <v>45</v>
      </c>
    </row>
    <row r="23" spans="2:7" ht="27.6" x14ac:dyDescent="0.25">
      <c r="B23" s="12" t="s">
        <v>26</v>
      </c>
      <c r="C23" s="2" t="s">
        <v>29</v>
      </c>
      <c r="E23" s="13" t="s">
        <v>49</v>
      </c>
      <c r="G23" s="11" t="s">
        <v>50</v>
      </c>
    </row>
    <row r="24" spans="2:7" ht="55.2" x14ac:dyDescent="0.25">
      <c r="B24" s="12"/>
      <c r="C24" s="2" t="s">
        <v>29</v>
      </c>
      <c r="E24" s="13" t="s">
        <v>51</v>
      </c>
      <c r="G24" s="11" t="s">
        <v>52</v>
      </c>
    </row>
    <row r="25" spans="2:7" ht="69" x14ac:dyDescent="0.25">
      <c r="B25" s="12"/>
      <c r="C25" s="2" t="s">
        <v>29</v>
      </c>
      <c r="E25" s="13" t="s">
        <v>53</v>
      </c>
      <c r="G25" s="11" t="s">
        <v>57</v>
      </c>
    </row>
    <row r="26" spans="2:7" ht="27.6" x14ac:dyDescent="0.25">
      <c r="B26" s="12" t="s">
        <v>26</v>
      </c>
      <c r="C26" s="2" t="s">
        <v>30</v>
      </c>
      <c r="E26" s="13" t="s">
        <v>54</v>
      </c>
      <c r="G26" s="11" t="s">
        <v>50</v>
      </c>
    </row>
    <row r="27" spans="2:7" ht="55.2" x14ac:dyDescent="0.25">
      <c r="B27" s="12"/>
      <c r="C27" s="2" t="s">
        <v>30</v>
      </c>
      <c r="E27" s="13" t="s">
        <v>55</v>
      </c>
      <c r="G27" s="11" t="s">
        <v>52</v>
      </c>
    </row>
    <row r="28" spans="2:7" ht="69" x14ac:dyDescent="0.25">
      <c r="B28" s="12"/>
      <c r="C28" s="2" t="s">
        <v>30</v>
      </c>
      <c r="E28" s="13" t="s">
        <v>56</v>
      </c>
      <c r="G28" s="11" t="s">
        <v>57</v>
      </c>
    </row>
    <row r="29" spans="2:7" x14ac:dyDescent="0.25">
      <c r="B29" s="12" t="s">
        <v>26</v>
      </c>
      <c r="C29" s="2" t="s">
        <v>31</v>
      </c>
      <c r="E29" s="13" t="s">
        <v>58</v>
      </c>
      <c r="G29" s="11" t="s">
        <v>63</v>
      </c>
    </row>
    <row r="30" spans="2:7" x14ac:dyDescent="0.25">
      <c r="B30" s="12" t="s">
        <v>26</v>
      </c>
      <c r="C30" s="2" t="s">
        <v>32</v>
      </c>
      <c r="E30" s="13" t="s">
        <v>59</v>
      </c>
      <c r="G30" s="11" t="s">
        <v>64</v>
      </c>
    </row>
    <row r="31" spans="2:7" x14ac:dyDescent="0.25">
      <c r="B31" s="12" t="s">
        <v>26</v>
      </c>
      <c r="C31" s="2" t="s">
        <v>33</v>
      </c>
      <c r="E31" s="13" t="s">
        <v>60</v>
      </c>
      <c r="G31" s="11" t="s">
        <v>65</v>
      </c>
    </row>
    <row r="32" spans="2:7" x14ac:dyDescent="0.25">
      <c r="B32" s="12" t="s">
        <v>26</v>
      </c>
      <c r="C32" s="2" t="s">
        <v>34</v>
      </c>
      <c r="E32" s="13" t="s">
        <v>61</v>
      </c>
      <c r="G32" s="11" t="s">
        <v>66</v>
      </c>
    </row>
    <row r="33" spans="2:7" ht="27.6" x14ac:dyDescent="0.25">
      <c r="B33" s="12" t="s">
        <v>26</v>
      </c>
      <c r="C33" s="2" t="s">
        <v>35</v>
      </c>
      <c r="E33" s="13" t="s">
        <v>62</v>
      </c>
      <c r="G33" s="11" t="s">
        <v>67</v>
      </c>
    </row>
    <row r="34" spans="2:7" x14ac:dyDescent="0.25">
      <c r="B34" s="12" t="s">
        <v>26</v>
      </c>
      <c r="C34" s="2" t="s">
        <v>36</v>
      </c>
      <c r="D34" s="2" t="s">
        <v>38</v>
      </c>
      <c r="E34" s="13" t="s">
        <v>68</v>
      </c>
      <c r="G34" s="11" t="s">
        <v>69</v>
      </c>
    </row>
    <row r="35" spans="2:7" x14ac:dyDescent="0.25">
      <c r="C35" s="2" t="s">
        <v>36</v>
      </c>
      <c r="D35" s="2" t="s">
        <v>39</v>
      </c>
      <c r="E35" s="13" t="s">
        <v>68</v>
      </c>
      <c r="G35" s="11" t="s">
        <v>71</v>
      </c>
    </row>
    <row r="36" spans="2:7" ht="27.6" x14ac:dyDescent="0.25">
      <c r="B36" s="12" t="s">
        <v>72</v>
      </c>
      <c r="C36" s="2" t="s">
        <v>36</v>
      </c>
      <c r="D36" s="2" t="s">
        <v>70</v>
      </c>
      <c r="E36" s="13" t="s">
        <v>73</v>
      </c>
      <c r="G36" s="11" t="s">
        <v>74</v>
      </c>
    </row>
    <row r="37" spans="2:7" ht="27.6" x14ac:dyDescent="0.25">
      <c r="C37" s="2" t="s">
        <v>36</v>
      </c>
      <c r="D37" s="2" t="s">
        <v>70</v>
      </c>
      <c r="E37" s="13" t="s">
        <v>75</v>
      </c>
      <c r="G37" s="11" t="s">
        <v>76</v>
      </c>
    </row>
    <row r="38" spans="2:7" ht="41.4" x14ac:dyDescent="0.25">
      <c r="C38" s="2" t="s">
        <v>36</v>
      </c>
      <c r="D38" s="2" t="s">
        <v>70</v>
      </c>
      <c r="E38" s="13" t="s">
        <v>77</v>
      </c>
      <c r="G38" s="11" t="s">
        <v>84</v>
      </c>
    </row>
    <row r="39" spans="2:7" ht="27.6" x14ac:dyDescent="0.25">
      <c r="C39" s="2" t="s">
        <v>36</v>
      </c>
      <c r="D39" s="2" t="s">
        <v>70</v>
      </c>
      <c r="E39" s="13" t="s">
        <v>78</v>
      </c>
      <c r="G39" s="11" t="s">
        <v>80</v>
      </c>
    </row>
    <row r="40" spans="2:7" ht="27.6" x14ac:dyDescent="0.25">
      <c r="C40" s="2" t="s">
        <v>36</v>
      </c>
      <c r="D40" s="2" t="s">
        <v>70</v>
      </c>
      <c r="E40" s="2" t="s">
        <v>79</v>
      </c>
      <c r="G40" s="11" t="s">
        <v>81</v>
      </c>
    </row>
    <row r="41" spans="2:7" ht="27.6" x14ac:dyDescent="0.25">
      <c r="C41" s="2" t="s">
        <v>36</v>
      </c>
      <c r="D41" s="2" t="s">
        <v>70</v>
      </c>
      <c r="E41" s="2" t="s">
        <v>82</v>
      </c>
      <c r="G41" s="11" t="s">
        <v>83</v>
      </c>
    </row>
    <row r="42" spans="2:7" x14ac:dyDescent="0.25">
      <c r="C42" s="2" t="s">
        <v>85</v>
      </c>
      <c r="D42" s="2" t="s">
        <v>38</v>
      </c>
      <c r="E42" s="13" t="s">
        <v>87</v>
      </c>
      <c r="G42" s="11" t="s">
        <v>89</v>
      </c>
    </row>
    <row r="43" spans="2:7" x14ac:dyDescent="0.25">
      <c r="C43" s="2" t="s">
        <v>86</v>
      </c>
      <c r="D43" s="2" t="s">
        <v>38</v>
      </c>
      <c r="E43" s="13" t="s">
        <v>88</v>
      </c>
      <c r="G43" s="11" t="s">
        <v>90</v>
      </c>
    </row>
    <row r="44" spans="2:7" ht="55.2" x14ac:dyDescent="0.25">
      <c r="C44" s="2" t="s">
        <v>91</v>
      </c>
      <c r="D44" s="2" t="s">
        <v>39</v>
      </c>
      <c r="E44" s="2" t="s">
        <v>92</v>
      </c>
      <c r="G44" s="2" t="s">
        <v>93</v>
      </c>
    </row>
    <row r="45" spans="2:7" ht="41.4" x14ac:dyDescent="0.25">
      <c r="C45" s="2" t="s">
        <v>94</v>
      </c>
      <c r="D45" s="2" t="s">
        <v>95</v>
      </c>
      <c r="E45" s="2" t="s">
        <v>96</v>
      </c>
      <c r="G45" s="2" t="s">
        <v>97</v>
      </c>
    </row>
    <row r="46" spans="2:7" ht="41.4" x14ac:dyDescent="0.25">
      <c r="C46" s="2" t="s">
        <v>98</v>
      </c>
      <c r="D46" s="2" t="s">
        <v>100</v>
      </c>
      <c r="E46" s="2" t="s">
        <v>103</v>
      </c>
      <c r="G46" s="2" t="s">
        <v>106</v>
      </c>
    </row>
    <row r="47" spans="2:7" ht="41.4" x14ac:dyDescent="0.25">
      <c r="C47" s="2" t="s">
        <v>99</v>
      </c>
      <c r="D47" s="2" t="s">
        <v>100</v>
      </c>
      <c r="E47" s="2" t="s">
        <v>104</v>
      </c>
      <c r="G47" s="2" t="s">
        <v>107</v>
      </c>
    </row>
    <row r="48" spans="2:7" ht="41.4" x14ac:dyDescent="0.25">
      <c r="C48" s="2" t="s">
        <v>101</v>
      </c>
      <c r="D48" s="2" t="s">
        <v>102</v>
      </c>
      <c r="E48" s="2" t="s">
        <v>105</v>
      </c>
      <c r="G48" s="2" t="s">
        <v>108</v>
      </c>
    </row>
    <row r="49" spans="1:11" x14ac:dyDescent="0.25">
      <c r="A49" s="30" t="s">
        <v>110</v>
      </c>
      <c r="B49" s="30"/>
      <c r="C49" s="30"/>
      <c r="D49" s="30"/>
      <c r="E49" s="30"/>
      <c r="F49" s="30"/>
      <c r="G49" s="30"/>
      <c r="H49" s="30"/>
      <c r="I49" s="30"/>
      <c r="J49" s="30"/>
      <c r="K49" s="30"/>
    </row>
    <row r="50" spans="1:11" ht="69" x14ac:dyDescent="0.25">
      <c r="B50" s="2" t="s">
        <v>112</v>
      </c>
      <c r="C50" s="2" t="s">
        <v>111</v>
      </c>
      <c r="D50" s="2" t="s">
        <v>113</v>
      </c>
      <c r="E50" s="2" t="s">
        <v>114</v>
      </c>
      <c r="G50" s="2" t="s">
        <v>124</v>
      </c>
    </row>
    <row r="51" spans="1:11" ht="41.4" x14ac:dyDescent="0.25">
      <c r="C51" s="2" t="s">
        <v>111</v>
      </c>
      <c r="D51" s="2" t="s">
        <v>113</v>
      </c>
      <c r="E51" s="2" t="s">
        <v>115</v>
      </c>
      <c r="G51" s="2" t="s">
        <v>116</v>
      </c>
    </row>
    <row r="52" spans="1:11" ht="69" x14ac:dyDescent="0.25">
      <c r="C52" s="2" t="s">
        <v>117</v>
      </c>
      <c r="D52" s="2" t="s">
        <v>113</v>
      </c>
      <c r="E52" s="2" t="s">
        <v>118</v>
      </c>
      <c r="G52" s="2" t="s">
        <v>125</v>
      </c>
    </row>
    <row r="53" spans="1:11" ht="55.2" x14ac:dyDescent="0.25">
      <c r="C53" s="2" t="s">
        <v>117</v>
      </c>
      <c r="D53" s="2" t="s">
        <v>113</v>
      </c>
      <c r="E53" s="2" t="s">
        <v>120</v>
      </c>
      <c r="G53" s="2" t="s">
        <v>119</v>
      </c>
    </row>
    <row r="54" spans="1:11" ht="55.2" x14ac:dyDescent="0.25">
      <c r="C54" s="2" t="s">
        <v>117</v>
      </c>
      <c r="D54" s="2" t="s">
        <v>113</v>
      </c>
      <c r="E54" s="2" t="s">
        <v>120</v>
      </c>
      <c r="G54" s="2" t="s">
        <v>121</v>
      </c>
    </row>
    <row r="55" spans="1:11" ht="41.4" x14ac:dyDescent="0.25">
      <c r="C55" s="2" t="s">
        <v>117</v>
      </c>
      <c r="D55" s="2" t="s">
        <v>113</v>
      </c>
      <c r="E55" s="2" t="s">
        <v>122</v>
      </c>
      <c r="G55" s="2" t="s">
        <v>123</v>
      </c>
    </row>
    <row r="56" spans="1:11" ht="55.2" x14ac:dyDescent="0.25">
      <c r="C56" s="2" t="s">
        <v>126</v>
      </c>
      <c r="D56" s="2" t="s">
        <v>113</v>
      </c>
      <c r="E56" s="2" t="s">
        <v>127</v>
      </c>
      <c r="G56" s="2" t="s">
        <v>134</v>
      </c>
    </row>
    <row r="57" spans="1:11" ht="41.4" x14ac:dyDescent="0.25">
      <c r="C57" s="2" t="s">
        <v>126</v>
      </c>
      <c r="D57" s="2" t="s">
        <v>113</v>
      </c>
      <c r="E57" s="2" t="s">
        <v>128</v>
      </c>
      <c r="G57" s="2" t="s">
        <v>133</v>
      </c>
    </row>
    <row r="58" spans="1:11" ht="69" x14ac:dyDescent="0.25">
      <c r="C58" s="2" t="s">
        <v>129</v>
      </c>
      <c r="D58" s="2" t="s">
        <v>113</v>
      </c>
      <c r="E58" s="2" t="s">
        <v>130</v>
      </c>
      <c r="G58" s="2" t="s">
        <v>135</v>
      </c>
    </row>
    <row r="59" spans="1:11" ht="41.4" x14ac:dyDescent="0.25">
      <c r="C59" s="2" t="s">
        <v>129</v>
      </c>
      <c r="D59" s="2" t="s">
        <v>113</v>
      </c>
      <c r="E59" s="2" t="s">
        <v>131</v>
      </c>
      <c r="G59" s="2" t="s">
        <v>132</v>
      </c>
    </row>
    <row r="60" spans="1:11" ht="69" x14ac:dyDescent="0.25">
      <c r="C60" s="2" t="s">
        <v>136</v>
      </c>
      <c r="D60" s="2" t="s">
        <v>113</v>
      </c>
      <c r="E60" s="2" t="s">
        <v>137</v>
      </c>
      <c r="G60" s="2" t="s">
        <v>139</v>
      </c>
    </row>
    <row r="61" spans="1:11" ht="41.4" x14ac:dyDescent="0.25">
      <c r="C61" s="2" t="s">
        <v>136</v>
      </c>
      <c r="D61" s="2" t="s">
        <v>113</v>
      </c>
      <c r="E61" s="2" t="s">
        <v>138</v>
      </c>
      <c r="G61" s="2" t="s">
        <v>140</v>
      </c>
    </row>
    <row r="62" spans="1:11" ht="69" x14ac:dyDescent="0.25">
      <c r="C62" s="2" t="s">
        <v>141</v>
      </c>
      <c r="D62" s="2" t="s">
        <v>113</v>
      </c>
      <c r="E62" s="2" t="s">
        <v>142</v>
      </c>
      <c r="G62" s="2" t="s">
        <v>144</v>
      </c>
    </row>
    <row r="63" spans="1:11" ht="41.4" x14ac:dyDescent="0.25">
      <c r="C63" s="2" t="s">
        <v>141</v>
      </c>
      <c r="D63" s="2" t="s">
        <v>113</v>
      </c>
      <c r="E63" s="2" t="s">
        <v>143</v>
      </c>
      <c r="G63" s="2" t="s">
        <v>145</v>
      </c>
    </row>
    <row r="64" spans="1:11" ht="69" x14ac:dyDescent="0.25">
      <c r="C64" s="2" t="s">
        <v>146</v>
      </c>
      <c r="D64" s="2" t="s">
        <v>113</v>
      </c>
      <c r="E64" s="2" t="s">
        <v>147</v>
      </c>
      <c r="G64" s="2" t="s">
        <v>154</v>
      </c>
    </row>
    <row r="65" spans="2:7" ht="41.4" x14ac:dyDescent="0.25">
      <c r="C65" s="2" t="s">
        <v>146</v>
      </c>
      <c r="D65" s="2" t="s">
        <v>113</v>
      </c>
      <c r="E65" s="2" t="s">
        <v>148</v>
      </c>
      <c r="G65" s="2" t="s">
        <v>149</v>
      </c>
    </row>
    <row r="66" spans="2:7" ht="69" x14ac:dyDescent="0.25">
      <c r="C66" s="2" t="s">
        <v>150</v>
      </c>
      <c r="D66" s="2" t="s">
        <v>113</v>
      </c>
      <c r="E66" s="2" t="s">
        <v>151</v>
      </c>
      <c r="G66" s="2" t="s">
        <v>155</v>
      </c>
    </row>
    <row r="67" spans="2:7" ht="41.4" x14ac:dyDescent="0.25">
      <c r="E67" s="2" t="s">
        <v>152</v>
      </c>
      <c r="G67" s="2" t="s">
        <v>153</v>
      </c>
    </row>
    <row r="68" spans="2:7" ht="41.4" x14ac:dyDescent="0.25">
      <c r="B68" s="2" t="s">
        <v>156</v>
      </c>
      <c r="C68" s="2" t="s">
        <v>158</v>
      </c>
      <c r="E68" s="2" t="s">
        <v>161</v>
      </c>
      <c r="G68" s="2" t="s">
        <v>160</v>
      </c>
    </row>
    <row r="69" spans="2:7" ht="41.4" x14ac:dyDescent="0.25">
      <c r="C69" s="2" t="s">
        <v>158</v>
      </c>
      <c r="D69" s="2" t="s">
        <v>159</v>
      </c>
      <c r="E69" s="2" t="s">
        <v>162</v>
      </c>
      <c r="G69" s="2" t="s">
        <v>163</v>
      </c>
    </row>
    <row r="70" spans="2:7" ht="55.2" x14ac:dyDescent="0.25">
      <c r="D70" s="2" t="s">
        <v>164</v>
      </c>
      <c r="E70" s="2" t="s">
        <v>165</v>
      </c>
      <c r="G70" s="2" t="s">
        <v>166</v>
      </c>
    </row>
    <row r="71" spans="2:7" ht="55.2" x14ac:dyDescent="0.25">
      <c r="D71" s="2" t="s">
        <v>164</v>
      </c>
      <c r="E71" s="2" t="s">
        <v>167</v>
      </c>
      <c r="G71" s="2" t="s">
        <v>168</v>
      </c>
    </row>
    <row r="72" spans="2:7" ht="41.4" x14ac:dyDescent="0.25">
      <c r="C72" s="2" t="s">
        <v>157</v>
      </c>
      <c r="E72" s="2" t="s">
        <v>170</v>
      </c>
      <c r="G72" s="2" t="s">
        <v>171</v>
      </c>
    </row>
    <row r="73" spans="2:7" ht="41.4" x14ac:dyDescent="0.25">
      <c r="C73" s="2" t="s">
        <v>157</v>
      </c>
      <c r="E73" s="2" t="s">
        <v>169</v>
      </c>
      <c r="G73" s="2" t="s">
        <v>172</v>
      </c>
    </row>
    <row r="75" spans="2:7" ht="41.4" x14ac:dyDescent="0.25">
      <c r="C75" s="2" t="s">
        <v>173</v>
      </c>
      <c r="E75" s="2" t="s">
        <v>174</v>
      </c>
      <c r="G75" s="2" t="s">
        <v>176</v>
      </c>
    </row>
    <row r="76" spans="2:7" ht="41.4" x14ac:dyDescent="0.25">
      <c r="C76" s="2" t="s">
        <v>173</v>
      </c>
      <c r="E76" s="2" t="s">
        <v>175</v>
      </c>
      <c r="G76" s="2" t="s">
        <v>177</v>
      </c>
    </row>
  </sheetData>
  <mergeCells count="9">
    <mergeCell ref="A10:K10"/>
    <mergeCell ref="A15:K15"/>
    <mergeCell ref="A16:K16"/>
    <mergeCell ref="A49:K49"/>
    <mergeCell ref="A1:E3"/>
    <mergeCell ref="A4:C4"/>
    <mergeCell ref="A5:C5"/>
    <mergeCell ref="A6:C6"/>
    <mergeCell ref="A7:C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1A5CC-DAC1-4465-B61A-08F3EBD185D0}">
  <dimension ref="A1:K21"/>
  <sheetViews>
    <sheetView topLeftCell="B7" zoomScale="115" zoomScaleNormal="115" workbookViewId="0">
      <selection activeCell="E18" sqref="E18"/>
    </sheetView>
  </sheetViews>
  <sheetFormatPr defaultRowHeight="13.8" x14ac:dyDescent="0.25"/>
  <cols>
    <col min="1" max="1" width="16.19921875" style="2" customWidth="1"/>
    <col min="2" max="2" width="24.296875" style="2" customWidth="1"/>
    <col min="3" max="3" width="16.3984375" style="2" customWidth="1"/>
    <col min="4" max="4" width="21.5" style="2" customWidth="1"/>
    <col min="5" max="5" width="53.59765625" style="2" customWidth="1"/>
    <col min="6" max="6" width="23.3984375" style="2" customWidth="1"/>
    <col min="7" max="7" width="28" style="2" customWidth="1"/>
    <col min="8" max="8" width="25.3984375" style="2" customWidth="1"/>
    <col min="9" max="9" width="19.09765625" style="2" customWidth="1"/>
    <col min="10" max="10" width="23.3984375" style="2" customWidth="1"/>
    <col min="11" max="11" width="29.3984375" style="2" customWidth="1"/>
    <col min="12" max="16384" width="8.796875" style="2"/>
  </cols>
  <sheetData>
    <row r="1" spans="1:11" x14ac:dyDescent="0.25">
      <c r="A1" s="31" t="s">
        <v>2</v>
      </c>
      <c r="B1" s="32"/>
      <c r="C1" s="32"/>
      <c r="D1" s="32"/>
      <c r="E1" s="33"/>
    </row>
    <row r="2" spans="1:11" x14ac:dyDescent="0.25">
      <c r="A2" s="34"/>
      <c r="B2" s="35"/>
      <c r="C2" s="35"/>
      <c r="D2" s="35"/>
      <c r="E2" s="36"/>
    </row>
    <row r="3" spans="1:11" x14ac:dyDescent="0.25">
      <c r="A3" s="37"/>
      <c r="B3" s="38"/>
      <c r="C3" s="38"/>
      <c r="D3" s="38"/>
      <c r="E3" s="39"/>
    </row>
    <row r="4" spans="1:11" x14ac:dyDescent="0.25">
      <c r="A4" s="40" t="s">
        <v>3</v>
      </c>
      <c r="B4" s="41"/>
      <c r="C4" s="42"/>
      <c r="D4" s="3"/>
      <c r="E4" s="4">
        <f>COUNTIF(H12:H419,"PASS")</f>
        <v>0</v>
      </c>
      <c r="F4" s="5"/>
      <c r="G4" s="5"/>
      <c r="H4" s="5"/>
      <c r="I4" s="5"/>
      <c r="J4" s="5"/>
      <c r="K4" s="5"/>
    </row>
    <row r="5" spans="1:11" x14ac:dyDescent="0.25">
      <c r="A5" s="40" t="s">
        <v>4</v>
      </c>
      <c r="B5" s="41"/>
      <c r="C5" s="42"/>
      <c r="D5" s="3"/>
      <c r="E5" s="4">
        <f>COUNTIF(H12:H419,"FAIL")</f>
        <v>0</v>
      </c>
      <c r="G5" s="5"/>
      <c r="H5" s="5"/>
      <c r="I5" s="5"/>
      <c r="J5" s="5"/>
      <c r="K5" s="5"/>
    </row>
    <row r="6" spans="1:11" x14ac:dyDescent="0.25">
      <c r="A6" s="40" t="s">
        <v>5</v>
      </c>
      <c r="B6" s="41"/>
      <c r="C6" s="42"/>
      <c r="D6" s="3"/>
      <c r="E6" s="4">
        <f>COUNTIF(H12:H419,"Pending")</f>
        <v>0</v>
      </c>
      <c r="F6" s="5"/>
      <c r="G6" s="5"/>
      <c r="H6" s="5"/>
      <c r="I6" s="5"/>
      <c r="J6" s="5"/>
      <c r="K6" s="5"/>
    </row>
    <row r="7" spans="1:11" x14ac:dyDescent="0.25">
      <c r="A7" s="40" t="s">
        <v>0</v>
      </c>
      <c r="B7" s="41"/>
      <c r="C7" s="42"/>
      <c r="D7" s="3"/>
      <c r="E7" s="4">
        <f>COUNTA(H12:H419)</f>
        <v>0</v>
      </c>
      <c r="F7" s="5"/>
      <c r="G7" s="5"/>
      <c r="H7" s="5"/>
      <c r="I7" s="5"/>
      <c r="J7" s="5"/>
      <c r="K7" s="5"/>
    </row>
    <row r="8" spans="1:11" x14ac:dyDescent="0.25">
      <c r="A8" s="6"/>
      <c r="B8" s="7"/>
      <c r="C8" s="7"/>
      <c r="D8" s="7"/>
      <c r="E8" s="7"/>
      <c r="F8" s="8"/>
      <c r="G8" s="8"/>
      <c r="H8" s="8"/>
      <c r="I8" s="8"/>
      <c r="J8" s="8"/>
      <c r="K8" s="8"/>
    </row>
    <row r="9" spans="1:11" ht="37.799999999999997" x14ac:dyDescent="0.25">
      <c r="A9" s="9" t="s">
        <v>6</v>
      </c>
      <c r="B9" s="9" t="s">
        <v>7</v>
      </c>
      <c r="C9" s="9" t="s">
        <v>8</v>
      </c>
      <c r="D9" s="9" t="s">
        <v>37</v>
      </c>
      <c r="E9" s="9" t="s">
        <v>9</v>
      </c>
      <c r="F9" s="9" t="s">
        <v>10</v>
      </c>
      <c r="G9" s="9" t="s">
        <v>11</v>
      </c>
      <c r="H9" s="9" t="s">
        <v>12</v>
      </c>
      <c r="I9" s="9" t="s">
        <v>13</v>
      </c>
      <c r="J9" s="9" t="s">
        <v>14</v>
      </c>
      <c r="K9" s="10" t="s">
        <v>15</v>
      </c>
    </row>
    <row r="10" spans="1:11" x14ac:dyDescent="0.25">
      <c r="A10" s="43" t="s">
        <v>188</v>
      </c>
      <c r="B10" s="43"/>
      <c r="C10" s="43"/>
      <c r="D10" s="43"/>
      <c r="E10" s="43"/>
      <c r="F10" s="43"/>
      <c r="G10" s="43"/>
      <c r="H10" s="43"/>
      <c r="I10" s="43"/>
      <c r="J10" s="43"/>
      <c r="K10" s="43"/>
    </row>
    <row r="11" spans="1:11" ht="27.6" x14ac:dyDescent="0.25">
      <c r="B11" s="2" t="s">
        <v>178</v>
      </c>
      <c r="C11" s="2" t="s">
        <v>179</v>
      </c>
      <c r="D11" s="2" t="s">
        <v>159</v>
      </c>
      <c r="E11" s="2" t="s">
        <v>181</v>
      </c>
      <c r="G11" s="2" t="s">
        <v>180</v>
      </c>
    </row>
    <row r="12" spans="1:11" ht="27.6" x14ac:dyDescent="0.25">
      <c r="D12" s="2" t="s">
        <v>164</v>
      </c>
      <c r="E12" s="2" t="s">
        <v>181</v>
      </c>
      <c r="G12" s="2" t="s">
        <v>182</v>
      </c>
    </row>
    <row r="13" spans="1:11" ht="55.2" x14ac:dyDescent="0.25">
      <c r="D13" s="2" t="s">
        <v>183</v>
      </c>
      <c r="E13" s="2" t="s">
        <v>181</v>
      </c>
      <c r="G13" s="2" t="s">
        <v>184</v>
      </c>
    </row>
    <row r="14" spans="1:11" ht="41.4" x14ac:dyDescent="0.25">
      <c r="D14" s="2" t="s">
        <v>189</v>
      </c>
      <c r="E14" s="2" t="s">
        <v>181</v>
      </c>
      <c r="G14" s="2" t="s">
        <v>185</v>
      </c>
    </row>
    <row r="15" spans="1:11" ht="55.2" x14ac:dyDescent="0.25">
      <c r="D15" s="2" t="s">
        <v>190</v>
      </c>
      <c r="E15" s="2" t="s">
        <v>181</v>
      </c>
      <c r="G15" s="2" t="s">
        <v>186</v>
      </c>
    </row>
    <row r="16" spans="1:11" ht="96.6" x14ac:dyDescent="0.25">
      <c r="B16" s="2" t="s">
        <v>187</v>
      </c>
      <c r="C16" s="2" t="s">
        <v>179</v>
      </c>
      <c r="D16" s="2" t="s">
        <v>190</v>
      </c>
      <c r="E16" s="2" t="s">
        <v>191</v>
      </c>
      <c r="G16" s="2" t="s">
        <v>201</v>
      </c>
    </row>
    <row r="17" spans="2:7" ht="55.2" x14ac:dyDescent="0.25">
      <c r="C17" s="2" t="s">
        <v>179</v>
      </c>
      <c r="D17" s="2" t="s">
        <v>183</v>
      </c>
      <c r="E17" s="2" t="s">
        <v>191</v>
      </c>
      <c r="G17" s="2" t="s">
        <v>192</v>
      </c>
    </row>
    <row r="18" spans="2:7" ht="41.4" x14ac:dyDescent="0.25">
      <c r="C18" s="2" t="s">
        <v>179</v>
      </c>
      <c r="D18" s="2" t="s">
        <v>189</v>
      </c>
      <c r="E18" s="2" t="s">
        <v>191</v>
      </c>
      <c r="G18" s="2" t="s">
        <v>193</v>
      </c>
    </row>
    <row r="19" spans="2:7" ht="41.4" x14ac:dyDescent="0.25">
      <c r="C19" s="2" t="s">
        <v>194</v>
      </c>
      <c r="D19" s="2" t="s">
        <v>189</v>
      </c>
      <c r="E19" s="2" t="s">
        <v>195</v>
      </c>
      <c r="G19" s="2" t="s">
        <v>196</v>
      </c>
    </row>
    <row r="20" spans="2:7" ht="41.4" x14ac:dyDescent="0.25">
      <c r="C20" s="2" t="s">
        <v>199</v>
      </c>
      <c r="D20" s="2" t="s">
        <v>189</v>
      </c>
      <c r="E20" s="2" t="s">
        <v>197</v>
      </c>
      <c r="G20" s="2" t="s">
        <v>198</v>
      </c>
    </row>
    <row r="21" spans="2:7" ht="41.4" x14ac:dyDescent="0.25">
      <c r="B21" s="2" t="s">
        <v>202</v>
      </c>
      <c r="C21" s="2" t="s">
        <v>203</v>
      </c>
      <c r="D21" s="2" t="s">
        <v>204</v>
      </c>
      <c r="E21" s="2" t="s">
        <v>205</v>
      </c>
      <c r="G21" s="2" t="s">
        <v>206</v>
      </c>
    </row>
  </sheetData>
  <mergeCells count="6">
    <mergeCell ref="A10:K10"/>
    <mergeCell ref="A1:E3"/>
    <mergeCell ref="A4:C4"/>
    <mergeCell ref="A5:C5"/>
    <mergeCell ref="A6:C6"/>
    <mergeCell ref="A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D66D5-8F30-4C36-A0D6-E796F5899545}">
  <dimension ref="A1:K116"/>
  <sheetViews>
    <sheetView topLeftCell="B70" zoomScaleNormal="100" workbookViewId="0">
      <selection activeCell="E78" sqref="E78"/>
    </sheetView>
  </sheetViews>
  <sheetFormatPr defaultRowHeight="13.8" x14ac:dyDescent="0.25"/>
  <cols>
    <col min="1" max="1" width="16.19921875" style="2" customWidth="1"/>
    <col min="2" max="2" width="24.296875" style="2" customWidth="1"/>
    <col min="3" max="3" width="18.5" style="2" customWidth="1"/>
    <col min="4" max="4" width="26.5" style="2" customWidth="1"/>
    <col min="5" max="5" width="53.59765625" style="2" customWidth="1"/>
    <col min="6" max="6" width="24.3984375" style="2" customWidth="1"/>
    <col min="7" max="7" width="28" style="2" customWidth="1"/>
    <col min="8" max="8" width="13.3984375" style="2" customWidth="1"/>
    <col min="9" max="9" width="19.09765625" style="2" customWidth="1"/>
    <col min="10" max="10" width="23.3984375" style="2" customWidth="1"/>
    <col min="11" max="11" width="29.3984375" style="2" customWidth="1"/>
    <col min="12" max="16384" width="8.796875" style="2"/>
  </cols>
  <sheetData>
    <row r="1" spans="1:11" x14ac:dyDescent="0.25">
      <c r="A1" s="31" t="s">
        <v>2</v>
      </c>
      <c r="B1" s="32"/>
      <c r="C1" s="32"/>
      <c r="D1" s="32"/>
      <c r="E1" s="33"/>
    </row>
    <row r="2" spans="1:11" x14ac:dyDescent="0.25">
      <c r="A2" s="34"/>
      <c r="B2" s="35"/>
      <c r="C2" s="35"/>
      <c r="D2" s="35"/>
      <c r="E2" s="36"/>
    </row>
    <row r="3" spans="1:11" x14ac:dyDescent="0.25">
      <c r="A3" s="37"/>
      <c r="B3" s="38"/>
      <c r="C3" s="38"/>
      <c r="D3" s="38"/>
      <c r="E3" s="39"/>
    </row>
    <row r="4" spans="1:11" x14ac:dyDescent="0.25">
      <c r="A4" s="40" t="s">
        <v>3</v>
      </c>
      <c r="B4" s="41"/>
      <c r="C4" s="42"/>
      <c r="D4" s="3" t="s">
        <v>200</v>
      </c>
      <c r="E4" s="4">
        <f>COUNTIF(H26:H468,"PASS")</f>
        <v>0</v>
      </c>
      <c r="F4" s="5"/>
      <c r="G4" s="5"/>
      <c r="H4" s="5"/>
      <c r="I4" s="5"/>
      <c r="J4" s="5"/>
      <c r="K4" s="5"/>
    </row>
    <row r="5" spans="1:11" x14ac:dyDescent="0.25">
      <c r="A5" s="40" t="s">
        <v>4</v>
      </c>
      <c r="B5" s="41"/>
      <c r="C5" s="42"/>
      <c r="D5" s="3"/>
      <c r="E5" s="4">
        <f>COUNTIF(H26:H468,"FAIL")</f>
        <v>0</v>
      </c>
      <c r="F5" s="5"/>
      <c r="G5" s="5"/>
      <c r="H5" s="5"/>
      <c r="I5" s="5"/>
      <c r="J5" s="5"/>
      <c r="K5" s="5"/>
    </row>
    <row r="6" spans="1:11" x14ac:dyDescent="0.25">
      <c r="A6" s="40" t="s">
        <v>5</v>
      </c>
      <c r="B6" s="41"/>
      <c r="C6" s="42"/>
      <c r="D6" s="3"/>
      <c r="E6" s="4">
        <f>COUNTIF(H26:H468,"Pending")</f>
        <v>0</v>
      </c>
      <c r="G6" s="5"/>
      <c r="H6" s="5"/>
      <c r="I6" s="5"/>
      <c r="J6" s="5"/>
      <c r="K6" s="5"/>
    </row>
    <row r="7" spans="1:11" x14ac:dyDescent="0.25">
      <c r="A7" s="40" t="s">
        <v>0</v>
      </c>
      <c r="B7" s="41"/>
      <c r="C7" s="42"/>
      <c r="D7" s="3"/>
      <c r="E7" s="4">
        <f>COUNTA(H26:H468)</f>
        <v>0</v>
      </c>
      <c r="F7" s="5"/>
      <c r="G7" s="5"/>
      <c r="H7" s="5"/>
      <c r="I7" s="5"/>
      <c r="J7" s="5"/>
      <c r="K7" s="5"/>
    </row>
    <row r="8" spans="1:11" x14ac:dyDescent="0.25">
      <c r="A8" s="6"/>
      <c r="B8" s="7"/>
      <c r="C8" s="7"/>
      <c r="D8" s="7"/>
      <c r="E8" s="7"/>
      <c r="F8" s="8"/>
      <c r="G8" s="8"/>
      <c r="H8" s="8"/>
      <c r="I8" s="8"/>
      <c r="J8" s="8"/>
      <c r="K8" s="8"/>
    </row>
    <row r="9" spans="1:11" ht="37.799999999999997" x14ac:dyDescent="0.25">
      <c r="A9" s="9" t="s">
        <v>6</v>
      </c>
      <c r="B9" s="9" t="s">
        <v>7</v>
      </c>
      <c r="C9" s="9" t="s">
        <v>8</v>
      </c>
      <c r="D9" s="9" t="s">
        <v>37</v>
      </c>
      <c r="E9" s="9" t="s">
        <v>9</v>
      </c>
      <c r="F9" s="9" t="s">
        <v>10</v>
      </c>
      <c r="G9" s="9" t="s">
        <v>11</v>
      </c>
      <c r="H9" s="9" t="s">
        <v>12</v>
      </c>
      <c r="I9" s="9" t="s">
        <v>13</v>
      </c>
      <c r="J9" s="9" t="s">
        <v>14</v>
      </c>
      <c r="K9" s="10" t="s">
        <v>15</v>
      </c>
    </row>
    <row r="10" spans="1:11" x14ac:dyDescent="0.25">
      <c r="A10" s="44" t="s">
        <v>311</v>
      </c>
      <c r="B10" s="44"/>
      <c r="C10" s="44"/>
      <c r="D10" s="44"/>
      <c r="E10" s="44"/>
      <c r="F10" s="44"/>
      <c r="G10" s="44"/>
      <c r="H10" s="44"/>
      <c r="I10" s="44"/>
      <c r="J10" s="44"/>
      <c r="K10" s="44"/>
    </row>
    <row r="11" spans="1:11" ht="41.4" x14ac:dyDescent="0.25">
      <c r="B11" s="2" t="s">
        <v>207</v>
      </c>
      <c r="C11" s="2" t="s">
        <v>220</v>
      </c>
      <c r="D11" s="2" t="s">
        <v>216</v>
      </c>
      <c r="E11" s="2" t="s">
        <v>217</v>
      </c>
      <c r="G11" s="2" t="s">
        <v>218</v>
      </c>
    </row>
    <row r="12" spans="1:11" ht="41.4" x14ac:dyDescent="0.25">
      <c r="C12" s="2" t="s">
        <v>208</v>
      </c>
      <c r="D12" s="2" t="s">
        <v>216</v>
      </c>
      <c r="E12" s="2" t="s">
        <v>219</v>
      </c>
      <c r="G12" s="2" t="s">
        <v>221</v>
      </c>
    </row>
    <row r="13" spans="1:11" ht="55.2" x14ac:dyDescent="0.25">
      <c r="D13" s="2" t="s">
        <v>216</v>
      </c>
      <c r="E13" s="2" t="s">
        <v>222</v>
      </c>
      <c r="G13" s="2" t="s">
        <v>223</v>
      </c>
    </row>
    <row r="15" spans="1:11" ht="41.4" x14ac:dyDescent="0.25">
      <c r="C15" s="2" t="s">
        <v>209</v>
      </c>
      <c r="D15" s="2" t="s">
        <v>216</v>
      </c>
      <c r="E15" s="2" t="s">
        <v>224</v>
      </c>
      <c r="G15" s="2" t="s">
        <v>225</v>
      </c>
    </row>
    <row r="16" spans="1:11" ht="41.4" x14ac:dyDescent="0.25">
      <c r="E16" s="2" t="s">
        <v>226</v>
      </c>
      <c r="G16" s="2" t="s">
        <v>227</v>
      </c>
    </row>
    <row r="17" spans="3:7" ht="55.2" x14ac:dyDescent="0.25">
      <c r="E17" s="2" t="s">
        <v>228</v>
      </c>
      <c r="G17" s="2" t="s">
        <v>229</v>
      </c>
    </row>
    <row r="18" spans="3:7" ht="55.2" x14ac:dyDescent="0.25">
      <c r="E18" s="2" t="s">
        <v>230</v>
      </c>
      <c r="G18" s="2" t="s">
        <v>231</v>
      </c>
    </row>
    <row r="19" spans="3:7" ht="69" x14ac:dyDescent="0.25">
      <c r="E19" s="2" t="s">
        <v>232</v>
      </c>
      <c r="G19" s="2" t="s">
        <v>233</v>
      </c>
    </row>
    <row r="20" spans="3:7" ht="69" x14ac:dyDescent="0.25">
      <c r="E20" s="2" t="s">
        <v>234</v>
      </c>
      <c r="G20" s="2" t="s">
        <v>235</v>
      </c>
    </row>
    <row r="21" spans="3:7" ht="82.8" x14ac:dyDescent="0.25">
      <c r="E21" s="2" t="s">
        <v>236</v>
      </c>
      <c r="G21" s="2" t="s">
        <v>237</v>
      </c>
    </row>
    <row r="22" spans="3:7" ht="82.8" x14ac:dyDescent="0.25">
      <c r="E22" s="2" t="s">
        <v>238</v>
      </c>
      <c r="G22" s="2" t="s">
        <v>237</v>
      </c>
    </row>
    <row r="23" spans="3:7" ht="82.8" x14ac:dyDescent="0.25">
      <c r="E23" s="2" t="s">
        <v>239</v>
      </c>
      <c r="G23" s="2" t="s">
        <v>240</v>
      </c>
    </row>
    <row r="24" spans="3:7" ht="40.799999999999997" customHeight="1" x14ac:dyDescent="0.25">
      <c r="E24" s="2" t="s">
        <v>250</v>
      </c>
      <c r="G24" s="2" t="s">
        <v>248</v>
      </c>
    </row>
    <row r="25" spans="3:7" ht="52.8" customHeight="1" x14ac:dyDescent="0.25">
      <c r="E25" s="2" t="s">
        <v>249</v>
      </c>
      <c r="G25" s="2" t="s">
        <v>251</v>
      </c>
    </row>
    <row r="26" spans="3:7" ht="55.2" x14ac:dyDescent="0.25">
      <c r="C26" s="2" t="s">
        <v>210</v>
      </c>
      <c r="D26" s="2" t="s">
        <v>216</v>
      </c>
      <c r="E26" s="2" t="s">
        <v>241</v>
      </c>
      <c r="G26" s="2" t="s">
        <v>242</v>
      </c>
    </row>
    <row r="27" spans="3:7" ht="55.2" x14ac:dyDescent="0.25">
      <c r="E27" s="2" t="s">
        <v>243</v>
      </c>
      <c r="G27" s="2" t="s">
        <v>245</v>
      </c>
    </row>
    <row r="28" spans="3:7" ht="55.2" x14ac:dyDescent="0.25">
      <c r="D28" s="2" t="s">
        <v>244</v>
      </c>
      <c r="E28" s="2" t="s">
        <v>243</v>
      </c>
      <c r="G28" s="2" t="s">
        <v>245</v>
      </c>
    </row>
    <row r="29" spans="3:7" ht="41.4" x14ac:dyDescent="0.25">
      <c r="C29" s="2" t="s">
        <v>211</v>
      </c>
      <c r="D29" s="2" t="s">
        <v>216</v>
      </c>
      <c r="E29" s="2" t="s">
        <v>246</v>
      </c>
      <c r="G29" s="2" t="s">
        <v>247</v>
      </c>
    </row>
    <row r="30" spans="3:7" ht="41.4" x14ac:dyDescent="0.25">
      <c r="E30" s="2" t="s">
        <v>252</v>
      </c>
      <c r="G30" s="2" t="s">
        <v>253</v>
      </c>
    </row>
    <row r="31" spans="3:7" ht="55.2" x14ac:dyDescent="0.25">
      <c r="E31" s="2" t="s">
        <v>254</v>
      </c>
      <c r="F31" s="2" t="s">
        <v>255</v>
      </c>
      <c r="G31" s="2" t="s">
        <v>258</v>
      </c>
    </row>
    <row r="32" spans="3:7" ht="55.2" x14ac:dyDescent="0.25">
      <c r="E32" s="2" t="s">
        <v>254</v>
      </c>
      <c r="F32" s="2" t="s">
        <v>256</v>
      </c>
      <c r="G32" s="2" t="s">
        <v>257</v>
      </c>
    </row>
    <row r="33" spans="3:7" ht="55.2" x14ac:dyDescent="0.25">
      <c r="E33" s="2" t="s">
        <v>254</v>
      </c>
      <c r="F33" s="2" t="s">
        <v>259</v>
      </c>
      <c r="G33" s="2" t="s">
        <v>260</v>
      </c>
    </row>
    <row r="34" spans="3:7" ht="55.2" x14ac:dyDescent="0.25">
      <c r="E34" s="2" t="s">
        <v>254</v>
      </c>
      <c r="F34" s="2" t="s">
        <v>261</v>
      </c>
      <c r="G34" s="2" t="s">
        <v>262</v>
      </c>
    </row>
    <row r="35" spans="3:7" ht="55.2" x14ac:dyDescent="0.25">
      <c r="E35" s="2" t="s">
        <v>254</v>
      </c>
      <c r="F35" s="2" t="s">
        <v>263</v>
      </c>
      <c r="G35" s="2" t="s">
        <v>264</v>
      </c>
    </row>
    <row r="36" spans="3:7" ht="55.2" x14ac:dyDescent="0.25">
      <c r="E36" s="2" t="s">
        <v>265</v>
      </c>
      <c r="F36" s="14" t="s">
        <v>266</v>
      </c>
      <c r="G36" s="2" t="s">
        <v>267</v>
      </c>
    </row>
    <row r="37" spans="3:7" ht="55.2" x14ac:dyDescent="0.25">
      <c r="E37" s="2" t="s">
        <v>265</v>
      </c>
      <c r="F37" s="14" t="s">
        <v>268</v>
      </c>
      <c r="G37" s="2" t="s">
        <v>269</v>
      </c>
    </row>
    <row r="38" spans="3:7" ht="55.2" x14ac:dyDescent="0.25">
      <c r="E38" s="2" t="s">
        <v>265</v>
      </c>
      <c r="F38" s="14" t="s">
        <v>270</v>
      </c>
      <c r="G38" s="2" t="s">
        <v>271</v>
      </c>
    </row>
    <row r="39" spans="3:7" ht="55.2" x14ac:dyDescent="0.25">
      <c r="E39" s="2" t="s">
        <v>265</v>
      </c>
      <c r="F39" s="14" t="s">
        <v>272</v>
      </c>
      <c r="G39" s="2" t="s">
        <v>271</v>
      </c>
    </row>
    <row r="40" spans="3:7" ht="37.200000000000003" customHeight="1" x14ac:dyDescent="0.25">
      <c r="C40" s="2" t="s">
        <v>212</v>
      </c>
      <c r="D40" s="2" t="s">
        <v>274</v>
      </c>
      <c r="E40" s="2" t="s">
        <v>273</v>
      </c>
      <c r="G40" s="2" t="s">
        <v>275</v>
      </c>
    </row>
    <row r="41" spans="3:7" ht="41.4" x14ac:dyDescent="0.25">
      <c r="C41" s="2" t="s">
        <v>213</v>
      </c>
      <c r="D41" s="2" t="s">
        <v>278</v>
      </c>
      <c r="E41" s="2" t="s">
        <v>276</v>
      </c>
      <c r="G41" s="2" t="s">
        <v>277</v>
      </c>
    </row>
    <row r="42" spans="3:7" ht="41.4" x14ac:dyDescent="0.25">
      <c r="D42" s="2" t="s">
        <v>39</v>
      </c>
      <c r="E42" s="2" t="s">
        <v>276</v>
      </c>
      <c r="G42" s="2" t="s">
        <v>279</v>
      </c>
    </row>
    <row r="43" spans="3:7" ht="55.2" x14ac:dyDescent="0.25">
      <c r="D43" s="2" t="s">
        <v>280</v>
      </c>
      <c r="E43" s="2" t="s">
        <v>281</v>
      </c>
      <c r="G43" s="2" t="s">
        <v>282</v>
      </c>
    </row>
    <row r="44" spans="3:7" ht="41.4" x14ac:dyDescent="0.25">
      <c r="C44" s="2" t="s">
        <v>294</v>
      </c>
      <c r="D44" s="2" t="s">
        <v>283</v>
      </c>
      <c r="E44" s="2" t="s">
        <v>284</v>
      </c>
      <c r="G44" s="2" t="s">
        <v>285</v>
      </c>
    </row>
    <row r="45" spans="3:7" ht="27.6" x14ac:dyDescent="0.25">
      <c r="D45" s="2" t="s">
        <v>283</v>
      </c>
      <c r="E45" s="2" t="s">
        <v>286</v>
      </c>
      <c r="G45" s="2" t="s">
        <v>287</v>
      </c>
    </row>
    <row r="46" spans="3:7" ht="27.6" x14ac:dyDescent="0.25">
      <c r="E46" s="2" t="s">
        <v>288</v>
      </c>
      <c r="G46" s="2" t="s">
        <v>289</v>
      </c>
    </row>
    <row r="47" spans="3:7" ht="27.6" x14ac:dyDescent="0.25">
      <c r="D47" s="2" t="s">
        <v>290</v>
      </c>
      <c r="E47" s="2" t="s">
        <v>288</v>
      </c>
      <c r="G47" s="2" t="s">
        <v>291</v>
      </c>
    </row>
    <row r="48" spans="3:7" ht="27.6" x14ac:dyDescent="0.25">
      <c r="E48" s="2" t="s">
        <v>292</v>
      </c>
      <c r="G48" s="2" t="s">
        <v>293</v>
      </c>
    </row>
    <row r="49" spans="3:7" ht="27.6" x14ac:dyDescent="0.25">
      <c r="E49" s="2" t="s">
        <v>292</v>
      </c>
      <c r="G49" s="2" t="s">
        <v>295</v>
      </c>
    </row>
    <row r="50" spans="3:7" ht="41.4" x14ac:dyDescent="0.25">
      <c r="E50" s="2" t="s">
        <v>296</v>
      </c>
      <c r="G50" s="2" t="s">
        <v>297</v>
      </c>
    </row>
    <row r="51" spans="3:7" ht="27.6" x14ac:dyDescent="0.25">
      <c r="E51" s="2" t="s">
        <v>298</v>
      </c>
      <c r="G51" s="2" t="s">
        <v>299</v>
      </c>
    </row>
    <row r="52" spans="3:7" ht="27.6" x14ac:dyDescent="0.25">
      <c r="E52" s="2" t="s">
        <v>298</v>
      </c>
      <c r="G52" s="2" t="s">
        <v>300</v>
      </c>
    </row>
    <row r="53" spans="3:7" ht="41.4" x14ac:dyDescent="0.25">
      <c r="E53" s="2" t="s">
        <v>298</v>
      </c>
      <c r="G53" s="2" t="s">
        <v>301</v>
      </c>
    </row>
    <row r="54" spans="3:7" ht="27.6" x14ac:dyDescent="0.25">
      <c r="E54" s="2" t="s">
        <v>298</v>
      </c>
      <c r="G54" s="2" t="s">
        <v>302</v>
      </c>
    </row>
    <row r="55" spans="3:7" ht="27.6" x14ac:dyDescent="0.25">
      <c r="D55" s="2" t="s">
        <v>303</v>
      </c>
      <c r="E55" s="2" t="s">
        <v>298</v>
      </c>
      <c r="G55" s="2" t="s">
        <v>305</v>
      </c>
    </row>
    <row r="56" spans="3:7" ht="27.6" x14ac:dyDescent="0.25">
      <c r="D56" s="2" t="s">
        <v>304</v>
      </c>
      <c r="E56" s="2" t="s">
        <v>298</v>
      </c>
      <c r="G56" s="2" t="s">
        <v>306</v>
      </c>
    </row>
    <row r="57" spans="3:7" ht="27.6" x14ac:dyDescent="0.25">
      <c r="E57" s="2" t="s">
        <v>298</v>
      </c>
      <c r="G57" s="2" t="s">
        <v>307</v>
      </c>
    </row>
    <row r="58" spans="3:7" ht="41.4" x14ac:dyDescent="0.25">
      <c r="E58" s="2" t="s">
        <v>308</v>
      </c>
      <c r="G58" s="2" t="s">
        <v>309</v>
      </c>
    </row>
    <row r="59" spans="3:7" ht="27.6" x14ac:dyDescent="0.25">
      <c r="E59" s="2" t="s">
        <v>310</v>
      </c>
      <c r="G59" s="2" t="s">
        <v>312</v>
      </c>
    </row>
    <row r="60" spans="3:7" ht="27.6" x14ac:dyDescent="0.25">
      <c r="D60" s="2" t="s">
        <v>314</v>
      </c>
      <c r="E60" s="2" t="s">
        <v>313</v>
      </c>
      <c r="G60" s="2" t="s">
        <v>316</v>
      </c>
    </row>
    <row r="61" spans="3:7" ht="41.4" x14ac:dyDescent="0.25">
      <c r="D61" s="2" t="s">
        <v>315</v>
      </c>
      <c r="E61" s="2" t="s">
        <v>313</v>
      </c>
      <c r="G61" s="2" t="s">
        <v>317</v>
      </c>
    </row>
    <row r="62" spans="3:7" ht="27.6" x14ac:dyDescent="0.25">
      <c r="C62" s="2" t="s">
        <v>214</v>
      </c>
      <c r="D62" s="2" t="s">
        <v>318</v>
      </c>
      <c r="E62" s="2" t="s">
        <v>328</v>
      </c>
      <c r="G62" s="2" t="s">
        <v>323</v>
      </c>
    </row>
    <row r="63" spans="3:7" ht="27.6" x14ac:dyDescent="0.25">
      <c r="D63" s="2" t="s">
        <v>319</v>
      </c>
      <c r="E63" s="2" t="s">
        <v>328</v>
      </c>
      <c r="G63" s="2" t="s">
        <v>324</v>
      </c>
    </row>
    <row r="64" spans="3:7" ht="27.6" x14ac:dyDescent="0.25">
      <c r="D64" s="2" t="s">
        <v>320</v>
      </c>
      <c r="E64" s="2" t="s">
        <v>328</v>
      </c>
      <c r="G64" s="2" t="s">
        <v>324</v>
      </c>
    </row>
    <row r="65" spans="3:7" ht="27.6" x14ac:dyDescent="0.25">
      <c r="D65" s="2" t="s">
        <v>321</v>
      </c>
      <c r="E65" s="2" t="s">
        <v>328</v>
      </c>
      <c r="G65" s="2" t="s">
        <v>324</v>
      </c>
    </row>
    <row r="66" spans="3:7" ht="41.4" x14ac:dyDescent="0.25">
      <c r="D66" s="2" t="s">
        <v>322</v>
      </c>
      <c r="E66" s="2" t="s">
        <v>328</v>
      </c>
      <c r="G66" s="2" t="s">
        <v>325</v>
      </c>
    </row>
    <row r="67" spans="3:7" ht="41.4" x14ac:dyDescent="0.25">
      <c r="D67" s="2" t="s">
        <v>326</v>
      </c>
      <c r="E67" s="2" t="s">
        <v>328</v>
      </c>
      <c r="G67" s="2" t="s">
        <v>327</v>
      </c>
    </row>
    <row r="69" spans="3:7" ht="27.6" x14ac:dyDescent="0.25">
      <c r="C69" s="2" t="s">
        <v>215</v>
      </c>
      <c r="D69" s="2" t="s">
        <v>329</v>
      </c>
      <c r="E69" s="2" t="s">
        <v>330</v>
      </c>
      <c r="G69" s="2" t="s">
        <v>331</v>
      </c>
    </row>
    <row r="70" spans="3:7" x14ac:dyDescent="0.25">
      <c r="D70" s="2" t="s">
        <v>333</v>
      </c>
      <c r="E70" s="2" t="s">
        <v>330</v>
      </c>
      <c r="G70" s="2" t="s">
        <v>332</v>
      </c>
    </row>
    <row r="71" spans="3:7" ht="27.6" x14ac:dyDescent="0.25">
      <c r="D71" s="2" t="s">
        <v>336</v>
      </c>
      <c r="E71" s="2" t="s">
        <v>334</v>
      </c>
      <c r="G71" s="2" t="s">
        <v>335</v>
      </c>
    </row>
    <row r="72" spans="3:7" ht="27.6" x14ac:dyDescent="0.25">
      <c r="D72" s="2" t="s">
        <v>333</v>
      </c>
      <c r="E72" s="2" t="s">
        <v>334</v>
      </c>
      <c r="G72" s="2" t="s">
        <v>337</v>
      </c>
    </row>
    <row r="73" spans="3:7" ht="41.4" x14ac:dyDescent="0.25">
      <c r="E73" s="2" t="s">
        <v>338</v>
      </c>
      <c r="G73" s="2" t="s">
        <v>339</v>
      </c>
    </row>
    <row r="74" spans="3:7" ht="55.2" x14ac:dyDescent="0.25">
      <c r="E74" s="2" t="s">
        <v>340</v>
      </c>
      <c r="G74" s="2" t="s">
        <v>341</v>
      </c>
    </row>
    <row r="75" spans="3:7" x14ac:dyDescent="0.25">
      <c r="D75" s="2" t="s">
        <v>342</v>
      </c>
      <c r="E75" s="2" t="s">
        <v>343</v>
      </c>
      <c r="G75" s="2" t="s">
        <v>344</v>
      </c>
    </row>
    <row r="76" spans="3:7" ht="69" x14ac:dyDescent="0.25">
      <c r="E76" s="2" t="s">
        <v>345</v>
      </c>
      <c r="G76" s="2" t="s">
        <v>346</v>
      </c>
    </row>
    <row r="77" spans="3:7" ht="27.6" x14ac:dyDescent="0.25">
      <c r="E77" s="2" t="s">
        <v>347</v>
      </c>
      <c r="G77" s="2" t="s">
        <v>348</v>
      </c>
    </row>
    <row r="78" spans="3:7" x14ac:dyDescent="0.25">
      <c r="E78" s="2" t="s">
        <v>349</v>
      </c>
      <c r="G78" s="2" t="s">
        <v>350</v>
      </c>
    </row>
    <row r="79" spans="3:7" x14ac:dyDescent="0.25">
      <c r="E79" s="2" t="s">
        <v>351</v>
      </c>
      <c r="G79" s="2" t="s">
        <v>352</v>
      </c>
    </row>
    <row r="80" spans="3:7" x14ac:dyDescent="0.25">
      <c r="E80" s="2" t="s">
        <v>353</v>
      </c>
      <c r="G80" s="2" t="s">
        <v>354</v>
      </c>
    </row>
    <row r="81" spans="1:11" ht="27.6" x14ac:dyDescent="0.25">
      <c r="E81" s="2" t="s">
        <v>355</v>
      </c>
      <c r="G81" s="2" t="s">
        <v>356</v>
      </c>
    </row>
    <row r="82" spans="1:11" ht="27.6" x14ac:dyDescent="0.25">
      <c r="E82" s="2" t="s">
        <v>357</v>
      </c>
      <c r="G82" s="2" t="s">
        <v>358</v>
      </c>
    </row>
    <row r="83" spans="1:11" x14ac:dyDescent="0.25">
      <c r="E83" s="2" t="s">
        <v>359</v>
      </c>
      <c r="G83" s="2" t="s">
        <v>360</v>
      </c>
    </row>
    <row r="84" spans="1:11" ht="27.6" x14ac:dyDescent="0.25">
      <c r="D84" s="2" t="s">
        <v>362</v>
      </c>
      <c r="E84" s="2" t="s">
        <v>361</v>
      </c>
      <c r="G84" s="2" t="s">
        <v>364</v>
      </c>
    </row>
    <row r="85" spans="1:11" ht="27.6" x14ac:dyDescent="0.25">
      <c r="D85" s="2" t="s">
        <v>363</v>
      </c>
      <c r="E85" s="2" t="s">
        <v>361</v>
      </c>
      <c r="G85" s="2" t="s">
        <v>365</v>
      </c>
    </row>
    <row r="86" spans="1:11" x14ac:dyDescent="0.25">
      <c r="A86" s="45" t="s">
        <v>366</v>
      </c>
      <c r="B86" s="45"/>
      <c r="C86" s="45"/>
      <c r="D86" s="45"/>
      <c r="E86" s="45"/>
      <c r="F86" s="45"/>
      <c r="G86" s="45"/>
      <c r="H86" s="45"/>
      <c r="I86" s="45"/>
      <c r="J86" s="45"/>
      <c r="K86" s="45"/>
    </row>
    <row r="87" spans="1:11" ht="41.4" x14ac:dyDescent="0.25">
      <c r="B87" s="2" t="s">
        <v>367</v>
      </c>
      <c r="C87" s="2" t="s">
        <v>368</v>
      </c>
      <c r="D87" s="2" t="s">
        <v>369</v>
      </c>
      <c r="E87" s="2" t="s">
        <v>370</v>
      </c>
      <c r="G87" s="2" t="s">
        <v>371</v>
      </c>
    </row>
    <row r="88" spans="1:11" x14ac:dyDescent="0.25">
      <c r="E88" s="2" t="s">
        <v>370</v>
      </c>
      <c r="G88" s="2" t="s">
        <v>413</v>
      </c>
    </row>
    <row r="89" spans="1:11" ht="27.6" x14ac:dyDescent="0.25">
      <c r="D89" s="2" t="s">
        <v>372</v>
      </c>
      <c r="E89" s="2" t="s">
        <v>370</v>
      </c>
      <c r="G89" s="2" t="s">
        <v>323</v>
      </c>
    </row>
    <row r="90" spans="1:11" ht="41.4" x14ac:dyDescent="0.25">
      <c r="D90" s="2" t="s">
        <v>414</v>
      </c>
      <c r="E90" s="2" t="s">
        <v>370</v>
      </c>
      <c r="G90" s="2" t="s">
        <v>415</v>
      </c>
    </row>
    <row r="91" spans="1:11" ht="27.6" x14ac:dyDescent="0.25">
      <c r="C91" s="2" t="s">
        <v>416</v>
      </c>
      <c r="D91" s="2" t="s">
        <v>417</v>
      </c>
      <c r="E91" s="2" t="s">
        <v>370</v>
      </c>
      <c r="G91" s="2" t="s">
        <v>418</v>
      </c>
    </row>
    <row r="92" spans="1:11" ht="27.6" x14ac:dyDescent="0.25">
      <c r="D92" s="2" t="s">
        <v>373</v>
      </c>
      <c r="E92" s="2" t="s">
        <v>370</v>
      </c>
      <c r="G92" s="2" t="s">
        <v>324</v>
      </c>
    </row>
    <row r="93" spans="1:11" ht="27.6" x14ac:dyDescent="0.25">
      <c r="D93" s="2" t="s">
        <v>374</v>
      </c>
      <c r="E93" s="2" t="s">
        <v>370</v>
      </c>
      <c r="G93" s="2" t="s">
        <v>324</v>
      </c>
    </row>
    <row r="94" spans="1:11" ht="27.6" x14ac:dyDescent="0.25">
      <c r="D94" s="2" t="s">
        <v>375</v>
      </c>
      <c r="E94" s="2" t="s">
        <v>370</v>
      </c>
      <c r="G94" s="2" t="s">
        <v>324</v>
      </c>
    </row>
    <row r="95" spans="1:11" ht="41.4" x14ac:dyDescent="0.25">
      <c r="D95" s="2" t="s">
        <v>376</v>
      </c>
      <c r="E95" s="2" t="s">
        <v>370</v>
      </c>
      <c r="G95" s="2" t="s">
        <v>325</v>
      </c>
    </row>
    <row r="96" spans="1:11" ht="41.4" x14ac:dyDescent="0.25">
      <c r="D96" s="2" t="s">
        <v>377</v>
      </c>
      <c r="E96" s="2" t="s">
        <v>370</v>
      </c>
      <c r="G96" s="2" t="s">
        <v>327</v>
      </c>
    </row>
    <row r="97" spans="2:7" ht="27.6" x14ac:dyDescent="0.25">
      <c r="B97" s="2" t="s">
        <v>389</v>
      </c>
      <c r="C97" s="2" t="s">
        <v>378</v>
      </c>
      <c r="D97" s="2" t="s">
        <v>369</v>
      </c>
      <c r="E97" s="2" t="s">
        <v>379</v>
      </c>
      <c r="G97" s="2" t="s">
        <v>380</v>
      </c>
    </row>
    <row r="98" spans="2:7" ht="27.6" x14ac:dyDescent="0.25">
      <c r="E98" s="2" t="s">
        <v>381</v>
      </c>
      <c r="G98" s="2" t="s">
        <v>382</v>
      </c>
    </row>
    <row r="99" spans="2:7" ht="41.4" x14ac:dyDescent="0.25">
      <c r="E99" s="2" t="s">
        <v>383</v>
      </c>
      <c r="G99" s="2" t="s">
        <v>384</v>
      </c>
    </row>
    <row r="100" spans="2:7" ht="41.4" x14ac:dyDescent="0.25">
      <c r="E100" s="2" t="s">
        <v>385</v>
      </c>
      <c r="G100" s="2" t="s">
        <v>386</v>
      </c>
    </row>
    <row r="101" spans="2:7" ht="41.4" x14ac:dyDescent="0.25">
      <c r="E101" s="2" t="s">
        <v>387</v>
      </c>
      <c r="G101" s="2" t="s">
        <v>388</v>
      </c>
    </row>
    <row r="102" spans="2:7" ht="27.6" x14ac:dyDescent="0.25">
      <c r="C102" s="2" t="s">
        <v>390</v>
      </c>
      <c r="D102" s="2" t="s">
        <v>369</v>
      </c>
      <c r="E102" s="2" t="s">
        <v>391</v>
      </c>
      <c r="G102" s="2" t="s">
        <v>392</v>
      </c>
    </row>
    <row r="103" spans="2:7" ht="41.4" x14ac:dyDescent="0.25">
      <c r="B103" s="2" t="s">
        <v>393</v>
      </c>
      <c r="C103" s="2" t="s">
        <v>158</v>
      </c>
      <c r="E103" s="2" t="s">
        <v>394</v>
      </c>
      <c r="G103" s="2" t="s">
        <v>160</v>
      </c>
    </row>
    <row r="104" spans="2:7" ht="41.4" x14ac:dyDescent="0.25">
      <c r="C104" s="2" t="s">
        <v>158</v>
      </c>
      <c r="D104" s="2" t="s">
        <v>159</v>
      </c>
      <c r="E104" s="2" t="s">
        <v>395</v>
      </c>
      <c r="G104" s="2" t="s">
        <v>163</v>
      </c>
    </row>
    <row r="105" spans="2:7" ht="55.2" x14ac:dyDescent="0.25">
      <c r="D105" s="2" t="s">
        <v>164</v>
      </c>
      <c r="E105" s="2" t="s">
        <v>396</v>
      </c>
      <c r="G105" s="2" t="s">
        <v>166</v>
      </c>
    </row>
    <row r="106" spans="2:7" ht="55.2" x14ac:dyDescent="0.25">
      <c r="D106" s="2" t="s">
        <v>164</v>
      </c>
      <c r="E106" s="2" t="s">
        <v>397</v>
      </c>
      <c r="G106" s="2" t="s">
        <v>168</v>
      </c>
    </row>
    <row r="107" spans="2:7" ht="41.4" x14ac:dyDescent="0.25">
      <c r="C107" s="2" t="s">
        <v>157</v>
      </c>
      <c r="E107" s="2" t="s">
        <v>398</v>
      </c>
      <c r="G107" s="2" t="s">
        <v>171</v>
      </c>
    </row>
    <row r="108" spans="2:7" ht="41.4" x14ac:dyDescent="0.25">
      <c r="C108" s="2" t="s">
        <v>157</v>
      </c>
      <c r="E108" s="2" t="s">
        <v>169</v>
      </c>
      <c r="G108" s="2" t="s">
        <v>172</v>
      </c>
    </row>
    <row r="110" spans="2:7" ht="41.4" x14ac:dyDescent="0.25">
      <c r="C110" s="2" t="s">
        <v>173</v>
      </c>
      <c r="E110" s="2" t="s">
        <v>399</v>
      </c>
      <c r="G110" s="2" t="s">
        <v>176</v>
      </c>
    </row>
    <row r="111" spans="2:7" ht="41.4" x14ac:dyDescent="0.25">
      <c r="C111" s="2" t="s">
        <v>173</v>
      </c>
      <c r="E111" s="2" t="s">
        <v>400</v>
      </c>
      <c r="G111" s="2" t="s">
        <v>177</v>
      </c>
    </row>
    <row r="112" spans="2:7" ht="41.4" x14ac:dyDescent="0.25">
      <c r="C112" s="2" t="s">
        <v>401</v>
      </c>
      <c r="E112" s="2" t="s">
        <v>402</v>
      </c>
      <c r="G112" s="2" t="s">
        <v>403</v>
      </c>
    </row>
    <row r="113" spans="3:7" ht="41.4" x14ac:dyDescent="0.25">
      <c r="D113" s="2" t="s">
        <v>404</v>
      </c>
      <c r="E113" s="2" t="s">
        <v>402</v>
      </c>
      <c r="G113" s="2" t="s">
        <v>405</v>
      </c>
    </row>
    <row r="114" spans="3:7" ht="41.4" x14ac:dyDescent="0.25">
      <c r="D114" s="2" t="s">
        <v>406</v>
      </c>
      <c r="E114" s="2" t="s">
        <v>407</v>
      </c>
      <c r="G114" s="2" t="s">
        <v>405</v>
      </c>
    </row>
    <row r="115" spans="3:7" ht="41.4" x14ac:dyDescent="0.25">
      <c r="D115" s="2" t="s">
        <v>408</v>
      </c>
      <c r="E115" s="2" t="s">
        <v>407</v>
      </c>
      <c r="G115" s="2" t="s">
        <v>409</v>
      </c>
    </row>
    <row r="116" spans="3:7" ht="27.6" x14ac:dyDescent="0.25">
      <c r="C116" s="2" t="s">
        <v>410</v>
      </c>
      <c r="E116" s="2" t="s">
        <v>411</v>
      </c>
      <c r="G116" s="2" t="s">
        <v>412</v>
      </c>
    </row>
  </sheetData>
  <mergeCells count="7">
    <mergeCell ref="A10:K10"/>
    <mergeCell ref="A86:K86"/>
    <mergeCell ref="A1:E3"/>
    <mergeCell ref="A4:C4"/>
    <mergeCell ref="A5:C5"/>
    <mergeCell ref="A6:C6"/>
    <mergeCell ref="A7: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69A7-0251-42B9-AB5D-1E71316FA024}">
  <dimension ref="A1:K94"/>
  <sheetViews>
    <sheetView topLeftCell="A67" workbookViewId="0">
      <selection activeCell="A42" sqref="A42:XFD42"/>
    </sheetView>
  </sheetViews>
  <sheetFormatPr defaultRowHeight="13.8" x14ac:dyDescent="0.25"/>
  <cols>
    <col min="1" max="1" width="16.19921875" style="15" customWidth="1"/>
    <col min="2" max="2" width="24.296875" style="15" customWidth="1"/>
    <col min="3" max="3" width="20.296875" style="15" customWidth="1"/>
    <col min="4" max="4" width="23.19921875" style="15" customWidth="1"/>
    <col min="5" max="5" width="53.59765625" style="15" customWidth="1"/>
    <col min="6" max="6" width="23.3984375" style="15" customWidth="1"/>
    <col min="7" max="7" width="31.8984375" style="15" customWidth="1"/>
    <col min="8" max="8" width="13.3984375" style="15" customWidth="1"/>
    <col min="9" max="9" width="19.09765625" style="15" customWidth="1"/>
    <col min="10" max="10" width="23.3984375" style="15" customWidth="1"/>
    <col min="11" max="11" width="29.3984375" style="15" customWidth="1"/>
    <col min="12" max="16384" width="8.796875" style="15"/>
  </cols>
  <sheetData>
    <row r="1" spans="1:11" x14ac:dyDescent="0.25">
      <c r="A1" s="22" t="s">
        <v>2</v>
      </c>
      <c r="B1" s="22"/>
      <c r="C1" s="22"/>
      <c r="D1" s="22"/>
      <c r="E1" s="22"/>
    </row>
    <row r="2" spans="1:11" x14ac:dyDescent="0.25">
      <c r="A2" s="22"/>
      <c r="B2" s="22"/>
      <c r="C2" s="22"/>
      <c r="D2" s="22"/>
      <c r="E2" s="22"/>
    </row>
    <row r="3" spans="1:11" x14ac:dyDescent="0.25">
      <c r="A3" s="22"/>
      <c r="B3" s="22"/>
      <c r="C3" s="22"/>
      <c r="D3" s="22"/>
      <c r="E3" s="22"/>
    </row>
    <row r="4" spans="1:11" x14ac:dyDescent="0.25">
      <c r="A4" s="23" t="s">
        <v>3</v>
      </c>
      <c r="B4" s="23"/>
      <c r="C4" s="23"/>
      <c r="D4" s="16" t="s">
        <v>200</v>
      </c>
      <c r="E4" s="4">
        <f>COUNTIF(H13:H447,"PASS")</f>
        <v>0</v>
      </c>
      <c r="F4" s="17"/>
      <c r="G4" s="17"/>
      <c r="H4" s="17"/>
      <c r="I4" s="17"/>
      <c r="J4" s="17"/>
      <c r="K4" s="17"/>
    </row>
    <row r="5" spans="1:11" x14ac:dyDescent="0.25">
      <c r="A5" s="23" t="s">
        <v>4</v>
      </c>
      <c r="B5" s="23"/>
      <c r="C5" s="23"/>
      <c r="D5" s="16"/>
      <c r="E5" s="4">
        <f>COUNTIF(H13:H447,"FAIL")</f>
        <v>0</v>
      </c>
      <c r="F5" s="17"/>
      <c r="G5" s="17"/>
      <c r="H5" s="17"/>
      <c r="I5" s="17"/>
      <c r="J5" s="17"/>
      <c r="K5" s="17"/>
    </row>
    <row r="6" spans="1:11" x14ac:dyDescent="0.25">
      <c r="A6" s="23" t="s">
        <v>5</v>
      </c>
      <c r="B6" s="23"/>
      <c r="C6" s="23"/>
      <c r="D6" s="16"/>
      <c r="E6" s="4">
        <f>COUNTIF(H13:H447,"Pending")</f>
        <v>0</v>
      </c>
      <c r="G6" s="17"/>
      <c r="H6" s="17"/>
      <c r="I6" s="17"/>
      <c r="J6" s="17"/>
      <c r="K6" s="17"/>
    </row>
    <row r="7" spans="1:11" x14ac:dyDescent="0.25">
      <c r="A7" s="23" t="s">
        <v>0</v>
      </c>
      <c r="B7" s="23"/>
      <c r="C7" s="23"/>
      <c r="D7" s="16"/>
      <c r="E7" s="4">
        <f>COUNTA(H13:H447)</f>
        <v>0</v>
      </c>
      <c r="F7" s="17"/>
      <c r="G7" s="17"/>
      <c r="H7" s="17"/>
      <c r="I7" s="17"/>
      <c r="J7" s="17"/>
      <c r="K7" s="17"/>
    </row>
    <row r="8" spans="1:11" x14ac:dyDescent="0.25">
      <c r="A8" s="18"/>
      <c r="B8" s="16"/>
      <c r="C8" s="16"/>
      <c r="D8" s="16"/>
      <c r="E8" s="16"/>
      <c r="F8" s="19"/>
      <c r="G8" s="19"/>
      <c r="H8" s="19"/>
      <c r="I8" s="19"/>
      <c r="J8" s="19"/>
      <c r="K8" s="19"/>
    </row>
    <row r="9" spans="1:11" ht="37.799999999999997" x14ac:dyDescent="0.25">
      <c r="A9" s="9" t="s">
        <v>431</v>
      </c>
      <c r="B9" s="9" t="s">
        <v>7</v>
      </c>
      <c r="C9" s="9" t="s">
        <v>8</v>
      </c>
      <c r="D9" s="9" t="s">
        <v>37</v>
      </c>
      <c r="E9" s="9" t="s">
        <v>9</v>
      </c>
      <c r="F9" s="9" t="s">
        <v>10</v>
      </c>
      <c r="G9" s="9" t="s">
        <v>11</v>
      </c>
      <c r="H9" s="9" t="s">
        <v>12</v>
      </c>
      <c r="I9" s="9" t="s">
        <v>13</v>
      </c>
      <c r="J9" s="9" t="s">
        <v>14</v>
      </c>
      <c r="K9" s="10" t="s">
        <v>15</v>
      </c>
    </row>
    <row r="10" spans="1:11" x14ac:dyDescent="0.25">
      <c r="A10" s="25" t="s">
        <v>432</v>
      </c>
      <c r="B10" s="25"/>
      <c r="C10" s="25"/>
      <c r="D10" s="25"/>
      <c r="E10" s="25"/>
      <c r="F10" s="25"/>
      <c r="G10" s="25"/>
      <c r="H10" s="25"/>
      <c r="I10" s="25"/>
      <c r="J10" s="25"/>
      <c r="K10" s="25"/>
    </row>
    <row r="11" spans="1:11" ht="41.4" x14ac:dyDescent="0.25">
      <c r="B11" s="20" t="s">
        <v>17</v>
      </c>
      <c r="C11" s="20" t="s">
        <v>18</v>
      </c>
      <c r="D11" s="15" t="s">
        <v>426</v>
      </c>
      <c r="E11" s="15" t="s">
        <v>419</v>
      </c>
      <c r="G11" s="21" t="s">
        <v>20</v>
      </c>
    </row>
    <row r="12" spans="1:11" ht="41.4" x14ac:dyDescent="0.25">
      <c r="E12" s="15" t="s">
        <v>420</v>
      </c>
      <c r="G12" s="21" t="s">
        <v>20</v>
      </c>
    </row>
    <row r="13" spans="1:11" ht="41.4" x14ac:dyDescent="0.25">
      <c r="E13" s="15" t="s">
        <v>422</v>
      </c>
      <c r="G13" s="21" t="s">
        <v>20</v>
      </c>
    </row>
    <row r="14" spans="1:11" ht="41.4" x14ac:dyDescent="0.25">
      <c r="E14" s="15" t="s">
        <v>421</v>
      </c>
      <c r="G14" s="21" t="s">
        <v>20</v>
      </c>
    </row>
    <row r="15" spans="1:11" ht="27.6" x14ac:dyDescent="0.25">
      <c r="C15" s="15" t="s">
        <v>423</v>
      </c>
      <c r="D15" s="15" t="s">
        <v>426</v>
      </c>
      <c r="E15" s="15" t="s">
        <v>424</v>
      </c>
      <c r="G15" s="15" t="s">
        <v>425</v>
      </c>
    </row>
    <row r="16" spans="1:11" ht="41.4" x14ac:dyDescent="0.25">
      <c r="D16" s="15" t="s">
        <v>427</v>
      </c>
      <c r="E16" s="15" t="s">
        <v>429</v>
      </c>
      <c r="G16" s="15" t="s">
        <v>428</v>
      </c>
    </row>
    <row r="17" spans="1:11" x14ac:dyDescent="0.25">
      <c r="A17" s="26" t="s">
        <v>435</v>
      </c>
      <c r="B17" s="26"/>
      <c r="C17" s="26"/>
      <c r="D17" s="26"/>
      <c r="E17" s="26"/>
      <c r="F17" s="26"/>
      <c r="G17" s="26"/>
      <c r="H17" s="26"/>
      <c r="I17" s="26"/>
      <c r="J17" s="26"/>
      <c r="K17" s="26"/>
    </row>
    <row r="18" spans="1:11" x14ac:dyDescent="0.25">
      <c r="A18" s="24" t="s">
        <v>444</v>
      </c>
      <c r="B18" s="24"/>
      <c r="C18" s="24"/>
      <c r="D18" s="24"/>
      <c r="E18" s="24"/>
      <c r="F18" s="24"/>
      <c r="G18" s="24"/>
      <c r="H18" s="24"/>
      <c r="I18" s="24"/>
      <c r="J18" s="24"/>
      <c r="K18" s="24"/>
    </row>
    <row r="19" spans="1:11" ht="27.6" x14ac:dyDescent="0.25">
      <c r="B19" s="15" t="s">
        <v>430</v>
      </c>
      <c r="C19" s="15" t="s">
        <v>433</v>
      </c>
      <c r="D19" s="15" t="s">
        <v>426</v>
      </c>
      <c r="E19" s="15" t="s">
        <v>434</v>
      </c>
      <c r="G19" s="15" t="s">
        <v>438</v>
      </c>
    </row>
    <row r="20" spans="1:11" ht="27.6" x14ac:dyDescent="0.25">
      <c r="C20" s="15" t="s">
        <v>436</v>
      </c>
      <c r="E20" s="15" t="s">
        <v>437</v>
      </c>
      <c r="G20" s="15" t="s">
        <v>439</v>
      </c>
    </row>
    <row r="21" spans="1:11" ht="27.6" x14ac:dyDescent="0.25">
      <c r="C21" s="15" t="s">
        <v>440</v>
      </c>
      <c r="E21" s="15" t="s">
        <v>441</v>
      </c>
      <c r="G21" s="15" t="s">
        <v>442</v>
      </c>
    </row>
    <row r="22" spans="1:11" ht="27.6" x14ac:dyDescent="0.25">
      <c r="C22" s="15" t="s">
        <v>443</v>
      </c>
      <c r="E22" s="15" t="s">
        <v>445</v>
      </c>
      <c r="G22" s="15" t="s">
        <v>446</v>
      </c>
    </row>
    <row r="23" spans="1:11" ht="27.6" x14ac:dyDescent="0.25">
      <c r="C23" s="15" t="s">
        <v>447</v>
      </c>
      <c r="E23" s="15" t="s">
        <v>448</v>
      </c>
      <c r="G23" s="15" t="s">
        <v>449</v>
      </c>
    </row>
    <row r="24" spans="1:11" ht="27.6" x14ac:dyDescent="0.25">
      <c r="C24" s="15" t="s">
        <v>450</v>
      </c>
      <c r="E24" s="15" t="s">
        <v>451</v>
      </c>
      <c r="G24" s="15" t="s">
        <v>452</v>
      </c>
    </row>
    <row r="25" spans="1:11" ht="27.6" x14ac:dyDescent="0.25">
      <c r="C25" s="15" t="s">
        <v>453</v>
      </c>
      <c r="D25" s="15" t="s">
        <v>454</v>
      </c>
      <c r="E25" s="15" t="s">
        <v>455</v>
      </c>
      <c r="G25" s="15" t="s">
        <v>456</v>
      </c>
    </row>
    <row r="26" spans="1:11" ht="27.6" x14ac:dyDescent="0.25">
      <c r="D26" s="15" t="s">
        <v>457</v>
      </c>
      <c r="E26" s="15" t="s">
        <v>455</v>
      </c>
      <c r="G26" s="15" t="s">
        <v>458</v>
      </c>
    </row>
    <row r="27" spans="1:11" ht="27.6" x14ac:dyDescent="0.25">
      <c r="C27" s="15" t="s">
        <v>459</v>
      </c>
      <c r="E27" s="15" t="s">
        <v>460</v>
      </c>
      <c r="G27" s="15" t="s">
        <v>461</v>
      </c>
    </row>
    <row r="28" spans="1:11" ht="27.6" x14ac:dyDescent="0.25">
      <c r="E28" s="15" t="s">
        <v>462</v>
      </c>
      <c r="G28" s="15" t="s">
        <v>463</v>
      </c>
    </row>
    <row r="30" spans="1:11" x14ac:dyDescent="0.25">
      <c r="A30" s="24" t="s">
        <v>528</v>
      </c>
      <c r="B30" s="24"/>
      <c r="C30" s="24"/>
      <c r="D30" s="24"/>
      <c r="E30" s="24"/>
      <c r="F30" s="24"/>
      <c r="G30" s="24"/>
      <c r="H30" s="24"/>
      <c r="I30" s="24"/>
      <c r="J30" s="24"/>
      <c r="K30" s="24"/>
    </row>
    <row r="31" spans="1:11" ht="27.6" x14ac:dyDescent="0.25">
      <c r="B31" s="15" t="s">
        <v>430</v>
      </c>
      <c r="C31" s="15" t="s">
        <v>433</v>
      </c>
      <c r="D31" s="15" t="s">
        <v>426</v>
      </c>
      <c r="E31" s="15" t="s">
        <v>434</v>
      </c>
      <c r="G31" s="15" t="s">
        <v>438</v>
      </c>
    </row>
    <row r="32" spans="1:11" ht="27.6" x14ac:dyDescent="0.25">
      <c r="C32" s="15" t="s">
        <v>436</v>
      </c>
      <c r="E32" s="15" t="s">
        <v>437</v>
      </c>
      <c r="G32" s="15" t="s">
        <v>439</v>
      </c>
    </row>
    <row r="33" spans="1:11" ht="27.6" x14ac:dyDescent="0.25">
      <c r="C33" s="15" t="s">
        <v>440</v>
      </c>
      <c r="E33" s="15" t="s">
        <v>441</v>
      </c>
      <c r="G33" s="15" t="s">
        <v>442</v>
      </c>
    </row>
    <row r="34" spans="1:11" ht="41.4" x14ac:dyDescent="0.25">
      <c r="C34" s="15" t="s">
        <v>529</v>
      </c>
      <c r="E34" s="15" t="s">
        <v>530</v>
      </c>
      <c r="G34" s="15" t="s">
        <v>531</v>
      </c>
    </row>
    <row r="35" spans="1:11" ht="27.6" x14ac:dyDescent="0.25">
      <c r="D35" s="15" t="s">
        <v>532</v>
      </c>
      <c r="E35" s="15" t="s">
        <v>530</v>
      </c>
      <c r="G35" s="15" t="s">
        <v>533</v>
      </c>
    </row>
    <row r="36" spans="1:11" ht="27.6" x14ac:dyDescent="0.25">
      <c r="D36" s="15" t="s">
        <v>532</v>
      </c>
      <c r="E36" s="15" t="s">
        <v>530</v>
      </c>
      <c r="G36" s="15" t="s">
        <v>534</v>
      </c>
    </row>
    <row r="37" spans="1:11" ht="41.4" x14ac:dyDescent="0.25">
      <c r="D37" s="15" t="s">
        <v>535</v>
      </c>
      <c r="E37" s="15" t="s">
        <v>536</v>
      </c>
      <c r="G37" s="15" t="s">
        <v>537</v>
      </c>
    </row>
    <row r="38" spans="1:11" ht="27.6" x14ac:dyDescent="0.25">
      <c r="C38" s="15" t="s">
        <v>453</v>
      </c>
      <c r="D38" s="15" t="s">
        <v>454</v>
      </c>
      <c r="E38" s="15" t="s">
        <v>455</v>
      </c>
      <c r="G38" s="15" t="s">
        <v>456</v>
      </c>
    </row>
    <row r="39" spans="1:11" ht="27.6" x14ac:dyDescent="0.25">
      <c r="D39" s="15" t="s">
        <v>457</v>
      </c>
      <c r="E39" s="15" t="s">
        <v>455</v>
      </c>
      <c r="G39" s="15" t="s">
        <v>458</v>
      </c>
    </row>
    <row r="40" spans="1:11" ht="27.6" x14ac:dyDescent="0.25">
      <c r="C40" s="15" t="s">
        <v>459</v>
      </c>
      <c r="E40" s="15" t="s">
        <v>460</v>
      </c>
      <c r="G40" s="15" t="s">
        <v>461</v>
      </c>
    </row>
    <row r="41" spans="1:11" ht="27.6" x14ac:dyDescent="0.25">
      <c r="E41" s="15" t="s">
        <v>462</v>
      </c>
      <c r="G41" s="15" t="s">
        <v>463</v>
      </c>
    </row>
    <row r="42" spans="1:11" x14ac:dyDescent="0.25">
      <c r="A42" s="24" t="s">
        <v>538</v>
      </c>
      <c r="B42" s="24"/>
      <c r="C42" s="24"/>
      <c r="D42" s="24"/>
      <c r="E42" s="24"/>
      <c r="F42" s="24"/>
      <c r="G42" s="24"/>
      <c r="H42" s="24"/>
      <c r="I42" s="24"/>
      <c r="J42" s="24"/>
      <c r="K42" s="24"/>
    </row>
    <row r="43" spans="1:11" ht="41.4" x14ac:dyDescent="0.25">
      <c r="C43" s="15" t="s">
        <v>464</v>
      </c>
      <c r="E43" s="15" t="s">
        <v>465</v>
      </c>
      <c r="G43" s="15" t="s">
        <v>466</v>
      </c>
    </row>
    <row r="44" spans="1:11" ht="41.4" x14ac:dyDescent="0.25">
      <c r="E44" s="15" t="s">
        <v>467</v>
      </c>
      <c r="G44" s="15" t="s">
        <v>468</v>
      </c>
    </row>
    <row r="45" spans="1:11" ht="41.4" x14ac:dyDescent="0.25">
      <c r="E45" s="15" t="s">
        <v>470</v>
      </c>
      <c r="G45" s="15" t="s">
        <v>469</v>
      </c>
    </row>
    <row r="46" spans="1:11" ht="55.2" x14ac:dyDescent="0.25">
      <c r="E46" s="15" t="s">
        <v>471</v>
      </c>
      <c r="G46" s="15" t="s">
        <v>472</v>
      </c>
    </row>
    <row r="47" spans="1:11" ht="41.4" x14ac:dyDescent="0.25">
      <c r="B47" s="15" t="s">
        <v>393</v>
      </c>
      <c r="C47" s="15" t="s">
        <v>158</v>
      </c>
      <c r="E47" s="15" t="s">
        <v>394</v>
      </c>
      <c r="G47" s="15" t="s">
        <v>160</v>
      </c>
    </row>
    <row r="48" spans="1:11" ht="41.4" x14ac:dyDescent="0.25">
      <c r="C48" s="15" t="s">
        <v>158</v>
      </c>
      <c r="D48" s="15" t="s">
        <v>159</v>
      </c>
      <c r="E48" s="15" t="s">
        <v>395</v>
      </c>
      <c r="G48" s="15" t="s">
        <v>163</v>
      </c>
    </row>
    <row r="49" spans="1:11" ht="55.2" x14ac:dyDescent="0.25">
      <c r="D49" s="15" t="s">
        <v>164</v>
      </c>
      <c r="E49" s="15" t="s">
        <v>396</v>
      </c>
      <c r="G49" s="15" t="s">
        <v>166</v>
      </c>
    </row>
    <row r="50" spans="1:11" ht="55.2" x14ac:dyDescent="0.25">
      <c r="D50" s="15" t="s">
        <v>164</v>
      </c>
      <c r="E50" s="15" t="s">
        <v>397</v>
      </c>
      <c r="G50" s="15" t="s">
        <v>168</v>
      </c>
    </row>
    <row r="51" spans="1:11" ht="41.4" x14ac:dyDescent="0.25">
      <c r="C51" s="15" t="s">
        <v>157</v>
      </c>
      <c r="E51" s="15" t="s">
        <v>398</v>
      </c>
      <c r="G51" s="15" t="s">
        <v>171</v>
      </c>
    </row>
    <row r="52" spans="1:11" ht="41.4" x14ac:dyDescent="0.25">
      <c r="C52" s="15" t="s">
        <v>157</v>
      </c>
      <c r="E52" s="15" t="s">
        <v>169</v>
      </c>
      <c r="G52" s="15" t="s">
        <v>172</v>
      </c>
    </row>
    <row r="53" spans="1:11" ht="41.4" x14ac:dyDescent="0.25">
      <c r="C53" s="15" t="s">
        <v>173</v>
      </c>
      <c r="E53" s="15" t="s">
        <v>399</v>
      </c>
      <c r="G53" s="15" t="s">
        <v>176</v>
      </c>
    </row>
    <row r="54" spans="1:11" ht="41.4" x14ac:dyDescent="0.25">
      <c r="C54" s="15" t="s">
        <v>173</v>
      </c>
      <c r="E54" s="15" t="s">
        <v>400</v>
      </c>
      <c r="G54" s="15" t="s">
        <v>177</v>
      </c>
    </row>
    <row r="56" spans="1:11" x14ac:dyDescent="0.25">
      <c r="C56" s="15" t="s">
        <v>473</v>
      </c>
      <c r="E56" s="15" t="s">
        <v>474</v>
      </c>
      <c r="G56" s="15" t="s">
        <v>475</v>
      </c>
    </row>
    <row r="57" spans="1:11" ht="27.6" x14ac:dyDescent="0.25">
      <c r="E57" s="15" t="s">
        <v>474</v>
      </c>
      <c r="G57" s="15" t="s">
        <v>476</v>
      </c>
    </row>
    <row r="58" spans="1:11" ht="27.6" x14ac:dyDescent="0.25">
      <c r="E58" s="15" t="s">
        <v>477</v>
      </c>
      <c r="G58" s="15" t="s">
        <v>478</v>
      </c>
    </row>
    <row r="59" spans="1:11" x14ac:dyDescent="0.25">
      <c r="A59" s="24" t="s">
        <v>539</v>
      </c>
      <c r="B59" s="24"/>
      <c r="C59" s="24"/>
      <c r="D59" s="24"/>
      <c r="E59" s="24"/>
      <c r="F59" s="24"/>
      <c r="G59" s="24"/>
      <c r="H59" s="24"/>
      <c r="I59" s="24"/>
      <c r="J59" s="24"/>
      <c r="K59" s="24"/>
    </row>
    <row r="60" spans="1:11" ht="27.6" x14ac:dyDescent="0.25">
      <c r="C60" s="15" t="s">
        <v>479</v>
      </c>
      <c r="D60" s="15" t="s">
        <v>484</v>
      </c>
      <c r="E60" s="15" t="s">
        <v>480</v>
      </c>
      <c r="G60" s="15" t="s">
        <v>483</v>
      </c>
    </row>
    <row r="61" spans="1:11" ht="41.4" x14ac:dyDescent="0.25">
      <c r="D61" s="15" t="s">
        <v>485</v>
      </c>
      <c r="E61" s="15" t="s">
        <v>480</v>
      </c>
      <c r="G61" s="15" t="s">
        <v>486</v>
      </c>
    </row>
    <row r="62" spans="1:11" x14ac:dyDescent="0.25">
      <c r="D62" s="15" t="s">
        <v>481</v>
      </c>
      <c r="E62" s="15" t="s">
        <v>480</v>
      </c>
      <c r="G62" s="15" t="s">
        <v>482</v>
      </c>
    </row>
    <row r="63" spans="1:11" ht="27.6" x14ac:dyDescent="0.25">
      <c r="D63" s="15" t="s">
        <v>487</v>
      </c>
      <c r="E63" s="15" t="s">
        <v>480</v>
      </c>
      <c r="G63" s="15" t="s">
        <v>488</v>
      </c>
    </row>
    <row r="64" spans="1:11" ht="27.6" x14ac:dyDescent="0.25">
      <c r="E64" s="15" t="s">
        <v>489</v>
      </c>
      <c r="G64" s="15" t="s">
        <v>490</v>
      </c>
    </row>
    <row r="65" spans="3:7" ht="41.4" x14ac:dyDescent="0.25">
      <c r="E65" s="15" t="s">
        <v>491</v>
      </c>
      <c r="G65" s="15" t="s">
        <v>527</v>
      </c>
    </row>
    <row r="66" spans="3:7" ht="41.4" x14ac:dyDescent="0.25">
      <c r="E66" s="15" t="s">
        <v>493</v>
      </c>
      <c r="G66" s="15" t="s">
        <v>492</v>
      </c>
    </row>
    <row r="67" spans="3:7" ht="41.4" x14ac:dyDescent="0.25">
      <c r="D67" s="15" t="s">
        <v>494</v>
      </c>
      <c r="E67" s="15" t="s">
        <v>480</v>
      </c>
      <c r="G67" s="15" t="s">
        <v>495</v>
      </c>
    </row>
    <row r="68" spans="3:7" ht="27.6" x14ac:dyDescent="0.25">
      <c r="E68" s="15" t="s">
        <v>489</v>
      </c>
      <c r="G68" s="15" t="s">
        <v>496</v>
      </c>
    </row>
    <row r="69" spans="3:7" ht="41.4" x14ac:dyDescent="0.25">
      <c r="E69" s="15" t="s">
        <v>497</v>
      </c>
      <c r="G69" s="15" t="s">
        <v>526</v>
      </c>
    </row>
    <row r="70" spans="3:7" ht="27.6" x14ac:dyDescent="0.25">
      <c r="D70" s="15" t="s">
        <v>498</v>
      </c>
      <c r="E70" s="15" t="s">
        <v>499</v>
      </c>
      <c r="G70" s="15" t="s">
        <v>500</v>
      </c>
    </row>
    <row r="72" spans="3:7" ht="27.6" x14ac:dyDescent="0.25">
      <c r="C72" s="15" t="s">
        <v>501</v>
      </c>
      <c r="D72" s="15" t="s">
        <v>484</v>
      </c>
      <c r="E72" s="15" t="s">
        <v>503</v>
      </c>
      <c r="G72" s="15" t="s">
        <v>502</v>
      </c>
    </row>
    <row r="73" spans="3:7" ht="41.4" x14ac:dyDescent="0.25">
      <c r="D73" s="15" t="s">
        <v>485</v>
      </c>
      <c r="E73" s="15" t="s">
        <v>503</v>
      </c>
      <c r="G73" s="15" t="s">
        <v>504</v>
      </c>
    </row>
    <row r="74" spans="3:7" x14ac:dyDescent="0.25">
      <c r="D74" s="15" t="s">
        <v>481</v>
      </c>
      <c r="E74" s="15" t="s">
        <v>503</v>
      </c>
      <c r="G74" s="15" t="s">
        <v>505</v>
      </c>
    </row>
    <row r="75" spans="3:7" ht="27.6" x14ac:dyDescent="0.25">
      <c r="D75" s="15" t="s">
        <v>487</v>
      </c>
      <c r="E75" s="15" t="s">
        <v>503</v>
      </c>
      <c r="G75" s="15" t="s">
        <v>488</v>
      </c>
    </row>
    <row r="76" spans="3:7" ht="27.6" x14ac:dyDescent="0.25">
      <c r="E76" s="15" t="s">
        <v>506</v>
      </c>
      <c r="G76" s="15" t="s">
        <v>490</v>
      </c>
    </row>
    <row r="77" spans="3:7" ht="27.6" x14ac:dyDescent="0.25">
      <c r="E77" s="15" t="s">
        <v>507</v>
      </c>
      <c r="G77" s="15" t="s">
        <v>492</v>
      </c>
    </row>
    <row r="78" spans="3:7" ht="41.4" x14ac:dyDescent="0.25">
      <c r="E78" s="15" t="s">
        <v>508</v>
      </c>
      <c r="G78" s="15" t="s">
        <v>513</v>
      </c>
    </row>
    <row r="79" spans="3:7" ht="41.4" x14ac:dyDescent="0.25">
      <c r="D79" s="15" t="s">
        <v>494</v>
      </c>
      <c r="E79" s="15" t="s">
        <v>503</v>
      </c>
      <c r="G79" s="15" t="s">
        <v>509</v>
      </c>
    </row>
    <row r="80" spans="3:7" ht="27.6" x14ac:dyDescent="0.25">
      <c r="E80" s="15" t="s">
        <v>506</v>
      </c>
      <c r="G80" s="15" t="s">
        <v>496</v>
      </c>
    </row>
    <row r="81" spans="3:7" ht="41.4" x14ac:dyDescent="0.25">
      <c r="E81" s="15" t="s">
        <v>510</v>
      </c>
      <c r="G81" s="15" t="s">
        <v>526</v>
      </c>
    </row>
    <row r="82" spans="3:7" ht="27.6" x14ac:dyDescent="0.25">
      <c r="D82" s="15" t="s">
        <v>498</v>
      </c>
      <c r="E82" s="15" t="s">
        <v>511</v>
      </c>
      <c r="G82" s="15" t="s">
        <v>512</v>
      </c>
    </row>
    <row r="84" spans="3:7" ht="41.4" x14ac:dyDescent="0.25">
      <c r="C84" s="15" t="s">
        <v>514</v>
      </c>
      <c r="D84" s="15" t="s">
        <v>484</v>
      </c>
      <c r="E84" s="15" t="s">
        <v>515</v>
      </c>
      <c r="G84" s="15" t="s">
        <v>516</v>
      </c>
    </row>
    <row r="85" spans="3:7" ht="41.4" x14ac:dyDescent="0.25">
      <c r="D85" s="15" t="s">
        <v>485</v>
      </c>
      <c r="E85" s="15" t="s">
        <v>515</v>
      </c>
      <c r="G85" s="15" t="s">
        <v>517</v>
      </c>
    </row>
    <row r="86" spans="3:7" x14ac:dyDescent="0.25">
      <c r="D86" s="15" t="s">
        <v>481</v>
      </c>
      <c r="E86" s="15" t="s">
        <v>515</v>
      </c>
      <c r="G86" s="15" t="s">
        <v>518</v>
      </c>
    </row>
    <row r="87" spans="3:7" ht="27.6" x14ac:dyDescent="0.25">
      <c r="D87" s="15" t="s">
        <v>487</v>
      </c>
      <c r="E87" s="15" t="s">
        <v>515</v>
      </c>
      <c r="G87" s="15" t="s">
        <v>488</v>
      </c>
    </row>
    <row r="88" spans="3:7" ht="27.6" x14ac:dyDescent="0.25">
      <c r="E88" s="15" t="s">
        <v>519</v>
      </c>
      <c r="G88" s="15" t="s">
        <v>490</v>
      </c>
    </row>
    <row r="89" spans="3:7" ht="27.6" x14ac:dyDescent="0.25">
      <c r="E89" s="15" t="s">
        <v>520</v>
      </c>
      <c r="G89" s="15" t="s">
        <v>492</v>
      </c>
    </row>
    <row r="90" spans="3:7" ht="41.4" x14ac:dyDescent="0.25">
      <c r="E90" s="15" t="s">
        <v>521</v>
      </c>
      <c r="G90" s="15" t="s">
        <v>513</v>
      </c>
    </row>
    <row r="91" spans="3:7" ht="41.4" x14ac:dyDescent="0.25">
      <c r="D91" s="15" t="s">
        <v>494</v>
      </c>
      <c r="E91" s="15" t="s">
        <v>515</v>
      </c>
      <c r="G91" s="15" t="s">
        <v>522</v>
      </c>
    </row>
    <row r="92" spans="3:7" ht="27.6" x14ac:dyDescent="0.25">
      <c r="E92" s="15" t="s">
        <v>519</v>
      </c>
      <c r="G92" s="15" t="s">
        <v>496</v>
      </c>
    </row>
    <row r="93" spans="3:7" ht="41.4" x14ac:dyDescent="0.25">
      <c r="E93" s="15" t="s">
        <v>523</v>
      </c>
      <c r="G93" s="15" t="s">
        <v>526</v>
      </c>
    </row>
    <row r="94" spans="3:7" ht="27.6" x14ac:dyDescent="0.25">
      <c r="D94" s="15" t="s">
        <v>498</v>
      </c>
      <c r="E94" s="15" t="s">
        <v>524</v>
      </c>
      <c r="G94" s="15" t="s">
        <v>525</v>
      </c>
    </row>
  </sheetData>
  <mergeCells count="11">
    <mergeCell ref="A30:K30"/>
    <mergeCell ref="A42:K42"/>
    <mergeCell ref="A59:K59"/>
    <mergeCell ref="A10:K10"/>
    <mergeCell ref="A17:K17"/>
    <mergeCell ref="A18:K18"/>
    <mergeCell ref="A1:E3"/>
    <mergeCell ref="A4:C4"/>
    <mergeCell ref="A5:C5"/>
    <mergeCell ref="A6:C6"/>
    <mergeCell ref="A7: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CD22C-57EC-44B5-B1A7-551A3DA13319}">
  <dimension ref="A1:K9"/>
  <sheetViews>
    <sheetView tabSelected="1" workbookViewId="0">
      <selection activeCell="A10" sqref="A10"/>
    </sheetView>
  </sheetViews>
  <sheetFormatPr defaultRowHeight="13.8" x14ac:dyDescent="0.25"/>
  <cols>
    <col min="1" max="1" width="16.19921875" customWidth="1"/>
    <col min="2" max="2" width="24.296875" customWidth="1"/>
    <col min="3" max="3" width="16.3984375" customWidth="1"/>
    <col min="4" max="4" width="23.19921875" customWidth="1"/>
    <col min="5" max="5" width="53.59765625" customWidth="1"/>
    <col min="6" max="6" width="23.3984375" customWidth="1"/>
    <col min="7" max="7" width="28" customWidth="1"/>
    <col min="8" max="8" width="13.3984375" customWidth="1"/>
    <col min="9" max="9" width="19.09765625" customWidth="1"/>
    <col min="10" max="10" width="23.3984375" customWidth="1"/>
    <col min="11" max="11" width="29.3984375" customWidth="1"/>
  </cols>
  <sheetData>
    <row r="1" spans="1:11" x14ac:dyDescent="0.25">
      <c r="A1" s="31" t="s">
        <v>2</v>
      </c>
      <c r="B1" s="32"/>
      <c r="C1" s="32"/>
      <c r="D1" s="32"/>
      <c r="E1" s="33"/>
      <c r="F1" s="2"/>
      <c r="G1" s="2"/>
      <c r="H1" s="2"/>
      <c r="I1" s="2"/>
      <c r="J1" s="2"/>
      <c r="K1" s="2"/>
    </row>
    <row r="2" spans="1:11" x14ac:dyDescent="0.25">
      <c r="A2" s="34"/>
      <c r="B2" s="35"/>
      <c r="C2" s="35"/>
      <c r="D2" s="35"/>
      <c r="E2" s="36"/>
      <c r="F2" s="2"/>
      <c r="G2" s="2"/>
      <c r="H2" s="2"/>
      <c r="I2" s="2"/>
      <c r="J2" s="2"/>
      <c r="K2" s="2"/>
    </row>
    <row r="3" spans="1:11" x14ac:dyDescent="0.25">
      <c r="A3" s="37"/>
      <c r="B3" s="38"/>
      <c r="C3" s="38"/>
      <c r="D3" s="38"/>
      <c r="E3" s="39"/>
      <c r="F3" s="2"/>
      <c r="G3" s="2"/>
      <c r="H3" s="2"/>
      <c r="I3" s="2"/>
      <c r="J3" s="2"/>
      <c r="K3" s="2"/>
    </row>
    <row r="4" spans="1:11" x14ac:dyDescent="0.25">
      <c r="A4" s="40" t="s">
        <v>3</v>
      </c>
      <c r="B4" s="41"/>
      <c r="C4" s="42"/>
      <c r="D4" s="3" t="s">
        <v>200</v>
      </c>
      <c r="E4" s="4">
        <f>COUNTIF(H12:H419,"PASS")</f>
        <v>0</v>
      </c>
      <c r="F4" s="5"/>
      <c r="G4" s="5"/>
      <c r="H4" s="5"/>
      <c r="I4" s="5"/>
      <c r="J4" s="5"/>
      <c r="K4" s="5"/>
    </row>
    <row r="5" spans="1:11" x14ac:dyDescent="0.25">
      <c r="A5" s="40" t="s">
        <v>4</v>
      </c>
      <c r="B5" s="41"/>
      <c r="C5" s="42"/>
      <c r="D5" s="3"/>
      <c r="E5" s="4">
        <f>COUNTIF(H12:H419,"FAIL")</f>
        <v>0</v>
      </c>
      <c r="F5" s="5"/>
      <c r="G5" s="5"/>
      <c r="H5" s="5"/>
      <c r="I5" s="5"/>
      <c r="J5" s="5"/>
      <c r="K5" s="5"/>
    </row>
    <row r="6" spans="1:11" x14ac:dyDescent="0.25">
      <c r="A6" s="40" t="s">
        <v>5</v>
      </c>
      <c r="B6" s="41"/>
      <c r="C6" s="42"/>
      <c r="D6" s="3"/>
      <c r="E6" s="4">
        <f>COUNTIF(H12:H419,"Pending")</f>
        <v>0</v>
      </c>
      <c r="G6" s="5"/>
      <c r="H6" s="5"/>
      <c r="I6" s="5"/>
      <c r="J6" s="5"/>
      <c r="K6" s="5"/>
    </row>
    <row r="7" spans="1:11" x14ac:dyDescent="0.25">
      <c r="A7" s="40" t="s">
        <v>0</v>
      </c>
      <c r="B7" s="41"/>
      <c r="C7" s="42"/>
      <c r="D7" s="3"/>
      <c r="E7" s="4">
        <f>COUNTA(H12:H419)</f>
        <v>0</v>
      </c>
      <c r="F7" s="5"/>
      <c r="G7" s="5"/>
      <c r="H7" s="5"/>
      <c r="I7" s="5"/>
      <c r="J7" s="5"/>
      <c r="K7" s="5"/>
    </row>
    <row r="8" spans="1:11" x14ac:dyDescent="0.25">
      <c r="A8" s="6"/>
      <c r="B8" s="7"/>
      <c r="C8" s="7"/>
      <c r="D8" s="7"/>
      <c r="E8" s="7"/>
      <c r="F8" s="8"/>
      <c r="G8" s="8"/>
      <c r="H8" s="8"/>
      <c r="I8" s="8"/>
      <c r="J8" s="8"/>
      <c r="K8" s="8"/>
    </row>
    <row r="9" spans="1:11" ht="37.799999999999997" x14ac:dyDescent="0.25">
      <c r="A9" s="9" t="s">
        <v>6</v>
      </c>
      <c r="B9" s="9" t="s">
        <v>7</v>
      </c>
      <c r="C9" s="9" t="s">
        <v>8</v>
      </c>
      <c r="D9" s="9" t="s">
        <v>37</v>
      </c>
      <c r="E9" s="9" t="s">
        <v>9</v>
      </c>
      <c r="F9" s="9" t="s">
        <v>10</v>
      </c>
      <c r="G9" s="9" t="s">
        <v>11</v>
      </c>
      <c r="H9" s="9" t="s">
        <v>12</v>
      </c>
      <c r="I9" s="9" t="s">
        <v>13</v>
      </c>
      <c r="J9" s="9" t="s">
        <v>14</v>
      </c>
      <c r="K9" s="10" t="s">
        <v>15</v>
      </c>
    </row>
  </sheetData>
  <mergeCells count="5">
    <mergeCell ref="A1:E3"/>
    <mergeCell ref="A4:C4"/>
    <mergeCell ref="A5:C5"/>
    <mergeCell ref="A6:C6"/>
    <mergeCell ref="A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Giao diện trang chủ</vt:lpstr>
      <vt:lpstr>Thông báo</vt:lpstr>
      <vt:lpstr>Tìm kiếm</vt:lpstr>
      <vt:lpstr>Xem chi tiết</vt:lpstr>
      <vt:lpstr>Sheet1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Nguyen Phan Sy</cp:lastModifiedBy>
  <dcterms:created xsi:type="dcterms:W3CDTF">2015-06-05T18:17:20Z</dcterms:created>
  <dcterms:modified xsi:type="dcterms:W3CDTF">2026-06-24T03:11:48Z</dcterms:modified>
</cp:coreProperties>
</file>