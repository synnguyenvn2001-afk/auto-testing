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esktop\Land - Copy\Testcase\"/>
    </mc:Choice>
  </mc:AlternateContent>
  <xr:revisionPtr revIDLastSave="0" documentId="13_ncr:2001_{3DCFB5C9-F8B5-4A31-9959-8F2054FAFB55}" xr6:coauthVersionLast="47" xr6:coauthVersionMax="47" xr10:uidLastSave="{00000000-0000-0000-0000-000000000000}"/>
  <bookViews>
    <workbookView xWindow="19090" yWindow="-2600" windowWidth="25820" windowHeight="15500" xr2:uid="{00000000-000D-0000-FFFF-FFFF00000000}"/>
  </bookViews>
  <sheets>
    <sheet name="Cẩm nang" sheetId="1" r:id="rId1"/>
    <sheet name="Tài liệu chuyên gia" sheetId="3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3" l="1"/>
  <c r="E6" i="3"/>
  <c r="E5" i="3"/>
  <c r="E4" i="3"/>
  <c r="E7" i="1"/>
  <c r="E6" i="1"/>
  <c r="E5" i="1"/>
  <c r="E4" i="1"/>
</calcChain>
</file>

<file path=xl/sharedStrings.xml><?xml version="1.0" encoding="utf-8"?>
<sst xmlns="http://schemas.openxmlformats.org/spreadsheetml/2006/main" count="655" uniqueCount="461">
  <si>
    <r>
      <t xml:space="preserve">KỊCH BẢN KIỂM THỬ
</t>
    </r>
    <r>
      <rPr>
        <sz val="16"/>
        <rFont val="Times New Roman"/>
        <family val="1"/>
      </rPr>
      <t>Dự án: &lt;&lt;Tên dự án&gt;&gt;</t>
    </r>
  </si>
  <si>
    <t>Số trường hợp kiểm thử đạt (Pass)</t>
  </si>
  <si>
    <t>x</t>
  </si>
  <si>
    <t>Số trường hợp kiểm thử không đạt (Fail)</t>
  </si>
  <si>
    <t>Số trường hợp kiểm thử Không test(Pending)</t>
  </si>
  <si>
    <t>Tổng số trường hợp kiểm thử</t>
  </si>
  <si>
    <t>Mã trường hợp kiểm thử</t>
  </si>
  <si>
    <r>
      <t xml:space="preserve">Chức năng
</t>
    </r>
    <r>
      <rPr>
        <i/>
        <sz val="9"/>
        <rFont val="Times New Roman"/>
        <family val="1"/>
      </rPr>
      <t>&lt;&lt;Liệt kê các chức năng cần kiểm thử&gt;&gt;</t>
    </r>
  </si>
  <si>
    <r>
      <t xml:space="preserve">Mô tả
</t>
    </r>
    <r>
      <rPr>
        <i/>
        <sz val="9"/>
        <rFont val="Times New Roman"/>
        <family val="1"/>
      </rPr>
      <t>&lt;&lt; Mô tả test case đáp ứng có kịch bản &gt;&gt;</t>
    </r>
  </si>
  <si>
    <r>
      <t xml:space="preserve">Điều kiện tiên quyết
</t>
    </r>
    <r>
      <rPr>
        <sz val="9"/>
        <rFont val="Times New Roman"/>
        <family val="1"/>
      </rPr>
      <t>&lt;&lt; Mô tả điều kiện cần đáp ứng &gt;&gt;</t>
    </r>
  </si>
  <si>
    <r>
      <t xml:space="preserve">Các bước thực hiện
</t>
    </r>
    <r>
      <rPr>
        <i/>
        <sz val="9"/>
        <rFont val="Times New Roman"/>
        <family val="1"/>
      </rPr>
      <t>&lt;&lt; Mô tả test case đáp ứng có kịch bản &gt;&gt;</t>
    </r>
  </si>
  <si>
    <r>
      <t xml:space="preserve">Dữ liệu test
</t>
    </r>
    <r>
      <rPr>
        <i/>
        <sz val="9"/>
        <rFont val="Times New Roman"/>
        <family val="1"/>
      </rPr>
      <t>&lt;&lt;Dữ liệu cần để thực hiện kịch bản&gt;&gt;</t>
    </r>
  </si>
  <si>
    <r>
      <t xml:space="preserve">Kết quả mong muốn
</t>
    </r>
    <r>
      <rPr>
        <i/>
        <sz val="9"/>
        <rFont val="Times New Roman"/>
        <family val="1"/>
      </rPr>
      <t>&lt;&lt; Mô tả kết quả mong muốn &gt;&gt;</t>
    </r>
  </si>
  <si>
    <r>
      <t xml:space="preserve">Kết quả
</t>
    </r>
    <r>
      <rPr>
        <i/>
        <sz val="9"/>
        <rFont val="Times New Roman"/>
        <family val="1"/>
      </rPr>
      <t>&lt;&lt;Trạng thái Test&gt;&gt;</t>
    </r>
  </si>
  <si>
    <t>Người thực hiện</t>
  </si>
  <si>
    <t>Ngày thực hiện</t>
  </si>
  <si>
    <r>
      <t xml:space="preserve">Ghi chú
</t>
    </r>
    <r>
      <rPr>
        <i/>
        <sz val="9"/>
        <color theme="1"/>
        <rFont val="Times New Roman"/>
        <family val="1"/>
      </rPr>
      <t>&lt;&lt; Bằng chứng lỗi, mã lỗi &gt;&gt;</t>
    </r>
  </si>
  <si>
    <t>Truy cập Cẩm nang</t>
  </si>
  <si>
    <t>Member truy cập trang Cẩm nang</t>
  </si>
  <si>
    <t>User đã đăng nhập</t>
  </si>
  <si>
    <t>Member session</t>
  </si>
  <si>
    <t>Trang Cẩm nang mở thành công, menu Cẩm nang active</t>
  </si>
  <si>
    <t>Guest truy cập trang Cẩm nang</t>
  </si>
  <si>
    <t>User chưa đăng nhập</t>
  </si>
  <si>
    <t>Guest session</t>
  </si>
  <si>
    <t>Guest xem được trang Cẩm nang nếu route public</t>
  </si>
  <si>
    <t>Sidebar</t>
  </si>
  <si>
    <t>Menu Cẩm nang active</t>
  </si>
  <si>
    <t>Đang ở trang Cẩm nang</t>
  </si>
  <si>
    <t>1. Quan sát sidebar trái</t>
  </si>
  <si>
    <t>-</t>
  </si>
  <si>
    <t>Menu Cẩm nang được highlight, đúng icon và trạng thái active</t>
  </si>
  <si>
    <t>Hiển thị đầy đủ menu chính</t>
  </si>
  <si>
    <t>1. Quan sát sidebar</t>
  </si>
  <si>
    <t>Hiển thị menu: Trang chủ, Bản đồ, Tin rao vặt, Tin tức thị trường, Cẩm nang, Tài liệu</t>
  </si>
  <si>
    <t>Điều hướng sang Trang chủ</t>
  </si>
  <si>
    <t>1. Click Trang chủ</t>
  </si>
  <si>
    <t>Điều hướng đúng sang Trang chủ</t>
  </si>
  <si>
    <t>Điều hướng sang Bản đồ</t>
  </si>
  <si>
    <t>1. Click Bản đồ</t>
  </si>
  <si>
    <t>Điều hướng đúng sang màn Bản đồ</t>
  </si>
  <si>
    <t>Điều hướng sang Tin rao vặt</t>
  </si>
  <si>
    <t>1. Click Tin rao vặt</t>
  </si>
  <si>
    <t>Điều hướng đúng sang trang Tin rao vặt</t>
  </si>
  <si>
    <t>Điều hướng sang Tin tức thị trường</t>
  </si>
  <si>
    <t>1. Click Tin tức thị trường</t>
  </si>
  <si>
    <t>Điều hướng đúng sang trang Tin tức thị trường</t>
  </si>
  <si>
    <t>Header</t>
  </si>
  <si>
    <t>Hiển thị điểm/coin/thông báo/avatar</t>
  </si>
  <si>
    <t>Member đã đăng nhập</t>
  </si>
  <si>
    <t>User có điểm/coin</t>
  </si>
  <si>
    <t>Hiển thị điểm, coin, chuông thông báo và avatar đúng thiết kế</t>
  </si>
  <si>
    <t>Click avatar người dùng</t>
  </si>
  <si>
    <t>1. Click avatar góc trên phải</t>
  </si>
  <si>
    <t>Click chuông thông báo</t>
  </si>
  <si>
    <t>1. Click icon chuông</t>
  </si>
  <si>
    <t>Layout</t>
  </si>
  <si>
    <t>Trang Cẩm nang không vỡ layout</t>
  </si>
  <si>
    <t>Có dữ liệu bài viết</t>
  </si>
  <si>
    <t>Desktop viewport</t>
  </si>
  <si>
    <t>Banner, search box, grid bài viết và sidebar hiển thị đúng vị trí</t>
  </si>
  <si>
    <t>1. Mở LandBase
2. Click menu Cẩm nang</t>
  </si>
  <si>
    <t>1. Mở trang Cẩm nang
2. Quan sát góc trên phải</t>
  </si>
  <si>
    <t>Mở menu tài khoản</t>
  </si>
  <si>
    <t>Mở danh sách thông báo</t>
  </si>
  <si>
    <t>1. Mở trang Cẩm nang
2. Quan sát tổng thể</t>
  </si>
  <si>
    <t>Banner</t>
  </si>
  <si>
    <t>Hiển thị banner Cẩm nang đầu tư BĐS</t>
  </si>
  <si>
    <t>1. Quan sát phần hero/banner</t>
  </si>
  <si>
    <t>Banner hiển thị ảnh nền thành phố và tiêu đề “Cẩm nang đầu tư BĐS”</t>
  </si>
  <si>
    <t>Ảnh banner lỗi tải</t>
  </si>
  <si>
    <t>Giả lập ảnh banner lỗi</t>
  </si>
  <si>
    <t>1. Mở trang Cẩm nang</t>
  </si>
  <si>
    <t>image 404</t>
  </si>
  <si>
    <t>Tìm kiếm</t>
  </si>
  <si>
    <t>Hiển thị thanh tìm kiếm bài viết</t>
  </si>
  <si>
    <t>1. Quan sát dưới banner</t>
  </si>
  <si>
    <t>Hiển thị search box với label “TÌM KIẾM BÀI VIẾT” và placeholder “Nhập từ khoá bạn cần tìm kiếm”</t>
  </si>
  <si>
    <t>Tìm kiếm bài viết theo từ khóa hợp lệ</t>
  </si>
  <si>
    <t>Có danh sách bài viết</t>
  </si>
  <si>
    <t>“bảng giá đất”</t>
  </si>
  <si>
    <t>Danh sách bài viết được lọc theo từ khóa nhập</t>
  </si>
  <si>
    <t>Tìm kiếm bằng phím Enter</t>
  </si>
  <si>
    <t>“Thái Nguyên”</t>
  </si>
  <si>
    <t>Hệ thống thực hiện tìm kiếm tương tự click icon search</t>
  </si>
  <si>
    <t>Tìm kiếm không có kết quả</t>
  </si>
  <si>
    <t>abcxyz999</t>
  </si>
  <si>
    <t>Xóa từ khóa tìm kiếm</t>
  </si>
  <si>
    <t>Đang có kết quả tìm kiếm</t>
  </si>
  <si>
    <t>Trống</t>
  </si>
  <si>
    <t>Danh sách quay về trạng thái mặc định và chỉ hiển thị 5 tin cẩm nang đầu</t>
  </si>
  <si>
    <t>Tìm kiếm với khoảng trắng đầu/cuối</t>
  </si>
  <si>
    <t>“ bảng giá đất ”</t>
  </si>
  <si>
    <t>Hệ thống trim khoảng trắng và tìm kiếm theo từ khóa thực</t>
  </si>
  <si>
    <t>Tìm kiếm không phân biệt hoa thường</t>
  </si>
  <si>
    <t>Có bài viết chứa từ khóa</t>
  </si>
  <si>
    <t>“BẢNG GIÁ ĐẤT”, “bảng giá đất”</t>
  </si>
  <si>
    <t>Kết quả tìm kiếm giống nhau</t>
  </si>
  <si>
    <t>Tìm kiếm tương đối có dấu/không dấu</t>
  </si>
  <si>
    <t>Có bài viết tiếng Việt có dấu</t>
  </si>
  <si>
    <t>“bảng giá đất”, “bang gia dat”</t>
  </si>
  <si>
    <t>Cả hai từ khóa có dấu và không dấu đều tìm được bài viết liên quan</t>
  </si>
  <si>
    <t>Tìm kiếm bằng ký tự đặc biệt</t>
  </si>
  <si>
    <t>Có ô tìm kiếm</t>
  </si>
  <si>
    <r>
      <t>&lt;script&gt;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.* OR 1=1</t>
    </r>
  </si>
  <si>
    <t>Hệ thống xử lý như chuỗi thường, không lỗi, không injection/XSS</t>
  </si>
  <si>
    <t>Loading khi tìm kiếm</t>
  </si>
  <si>
    <t>API search trả chậm</t>
  </si>
  <si>
    <t>API delay</t>
  </si>
  <si>
    <t>API tìm kiếm lỗi</t>
  </si>
  <si>
    <t>Service search lỗi</t>
  </si>
  <si>
    <t>API 500</t>
  </si>
  <si>
    <t>Hiển thị lỗi tải dữ liệu/tìm kiếm thất bại, cho phép thử lại</t>
  </si>
  <si>
    <t>Tìm kiếm liên tục nhiều từ khóa</t>
  </si>
  <si>
    <t>A → B</t>
  </si>
  <si>
    <t>Chỉ hiển thị kết quả của từ khóa cuối cùng, không bị response cũ ghi đè</t>
  </si>
  <si>
    <t>1. Nhập từ khóa
2. Click icon tìm kiếm</t>
  </si>
  <si>
    <t xml:space="preserve">Hiển thị empty state “Không tìm thấy kết quả” </t>
  </si>
  <si>
    <t>1. Nhập từ khóa
2. Nhấn Enter</t>
  </si>
  <si>
    <t>1. Nhập từ khóa không tồn tại
2. Tìm kiếm</t>
  </si>
  <si>
    <t>1. Xóa nội dung search
2. Nhấn Enter hoặc click search</t>
  </si>
  <si>
    <t>1. Nhập từ khóa có khoảng trắng
2. Tìm kiếm</t>
  </si>
  <si>
    <t>1. Nhập từ khóa hoa/thường khác nhau
2. Tìm kiếm</t>
  </si>
  <si>
    <t>1. Nhập từ khóa có dấu
2. Tìm kiếm
3. Nhập từ khóa không dấu
4. Tìm kiếm</t>
  </si>
  <si>
    <t>1. Nhập ký tự đặc biệt
2. Tìm kiếm</t>
  </si>
  <si>
    <t>1. Nhập từ khóa
2. Click search</t>
  </si>
  <si>
    <t>Hiển thị loading, không trắng danh sách</t>
  </si>
  <si>
    <t>1. Nhập từ khóa A
2. Nhanh chóng nhập từ khóa B
3. Tìm kiếm</t>
  </si>
  <si>
    <t>Danh sách bài viết</t>
  </si>
  <si>
    <t>Hiển thị danh sách 5 tin cẩm nang đầu</t>
  </si>
  <si>
    <t>Có nhiều hơn 5 bài viết cẩm nang</t>
  </si>
  <si>
    <t>API có &gt; 5 bài viết</t>
  </si>
  <si>
    <t>Hệ thống chỉ hiển thị 5 tin cẩm nang đầu</t>
  </si>
  <si>
    <t>Hiển thị 3 card mỗi hàng trên desktop</t>
  </si>
  <si>
    <t>Desktop viewport đủ rộng</t>
  </si>
  <si>
    <t>Hiển thị 3 card trên một hàng theo thiết kế</t>
  </si>
  <si>
    <t>Card bài viết</t>
  </si>
  <si>
    <t>Card hiển thị ảnh thumbnail</t>
  </si>
  <si>
    <t>Bài viết có ảnh đại diện</t>
  </si>
  <si>
    <t>1. Quan sát card</t>
  </si>
  <si>
    <t>Ảnh thumbnail hiển thị đúng tỷ lệ, không méo</t>
  </si>
  <si>
    <t>Thumbnail lỗi tải</t>
  </si>
  <si>
    <t>Bài viết có ảnh lỗi</t>
  </si>
  <si>
    <t>Card hiển thị ngày đăng</t>
  </si>
  <si>
    <t>Bài viết có ngày đăng</t>
  </si>
  <si>
    <t>27/01/2026 - 00:00</t>
  </si>
  <si>
    <t>Ngày đăng hiển thị đúng format theo thiết kế</t>
  </si>
  <si>
    <t>Card hiển thị tiêu đề bài viết</t>
  </si>
  <si>
    <t>Bài viết có tiêu đề</t>
  </si>
  <si>
    <t>“Bảng giá đất 2026 Thanh Hóa...”</t>
  </si>
  <si>
    <t>Tiêu đề hiển thị đúng, không bị lỗi font</t>
  </si>
  <si>
    <t>Card hiển thị mô tả ngắn</t>
  </si>
  <si>
    <t>Bài viết có mô tả</t>
  </si>
  <si>
    <t>1. Quan sát đoạn mô tả trên card</t>
  </si>
  <si>
    <t>Mô tả ngắn hiển thị bên dưới tiêu đề, giới hạn dòng đúng thiết kế</t>
  </si>
  <si>
    <t>Không hiển thị thô tag HTML trong mô tả card</t>
  </si>
  <si>
    <t>Mô tả bài viết có HTML</t>
  </si>
  <si>
    <t>&lt;p&gt;&lt;strong&gt;Bảng giá đất...&lt;/strong&gt;&lt;/p&gt;</t>
  </si>
  <si>
    <r>
      <t xml:space="preserve">Mô tả card không hiển thị thô </t>
    </r>
    <r>
      <rPr>
        <sz val="10"/>
        <color theme="1"/>
        <rFont val="Arial Unicode MS"/>
      </rPr>
      <t>&lt;p&gt;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&lt;strong&gt;</t>
    </r>
    <r>
      <rPr>
        <sz val="11"/>
        <color theme="1"/>
        <rFont val="Arial"/>
        <family val="2"/>
        <scheme val="minor"/>
      </rPr>
      <t>; nội dung được render/strip HTML đúng</t>
    </r>
  </si>
  <si>
    <t>Tiêu đề dài không vỡ layout</t>
  </si>
  <si>
    <t>Bài viết có tiêu đề dài</t>
  </si>
  <si>
    <t>Mô tả dài không vỡ layout</t>
  </si>
  <si>
    <t>Bài viết có mô tả dài</t>
  </si>
  <si>
    <t>Mô tả được giới hạn dòng/truncate, không làm vỡ card</t>
  </si>
  <si>
    <t>1. Mở danh sách bài viết</t>
  </si>
  <si>
    <t>Bài viết thiếu thumbnail</t>
  </si>
  <si>
    <t>API trả thumbnail null</t>
  </si>
  <si>
    <t>thumbnail null</t>
  </si>
  <si>
    <t>API danh sách lỗi</t>
  </si>
  <si>
    <t>Service danh sách bài viết lỗi</t>
  </si>
  <si>
    <t>Hiển thị state lỗi/tải lại, không làm vỡ toàn trang</t>
  </si>
  <si>
    <t>Danh sách bài viết rỗng</t>
  </si>
  <si>
    <t>API trả empty list</t>
  </si>
  <si>
    <t>Empty list</t>
  </si>
  <si>
    <t>Hiển thị empty state phù hợp, không render card rỗng</t>
  </si>
  <si>
    <t>Không có phân trang/tải thêm bài viết</t>
  </si>
  <si>
    <t>Không hiển thị bài bị ẩn/xóa</t>
  </si>
  <si>
    <t>Có bài viết inactive/deleted</t>
  </si>
  <si>
    <t>Không hiển thị bài viết đã bị xóa/ẩn trong danh sách public</t>
  </si>
  <si>
    <t>Thứ tự 5 bài viết đầu</t>
  </si>
  <si>
    <t>Có nhiều bài viết cẩm nang</t>
  </si>
  <si>
    <t>Danh sách bài viết từ backend</t>
  </si>
  <si>
    <t>1. Mở trang Cẩm nang
2. Đếm số card bài viết hiển thị</t>
  </si>
  <si>
    <t>1. Mở trang Cẩm nang
2. Quan sát lưới card</t>
  </si>
  <si>
    <t>Hiển thị ảnh mặc định, card vẫn hiển thị thông tin còn lại</t>
  </si>
  <si>
    <t>1. Mở trang Cẩm nang
2. Quan sát mô tả trên card</t>
  </si>
  <si>
    <t>Tiêu đề được giới hạn dòng, không làm vỡ card</t>
  </si>
  <si>
    <t>Card hiển thị ảnh mặc định</t>
  </si>
  <si>
    <t>1. Mở trang Cẩm nang
2. Cuộn xuống cuối danh sách
3. Quan sát thanh điều hướng trang</t>
  </si>
  <si>
    <t>API có &gt; 6 bài viết</t>
  </si>
  <si>
    <t>Không hiển thị phân trang, không infinite scroll, không tải thêm; danh sách chỉ gồm 6 tin cẩm nang đầu</t>
  </si>
  <si>
    <t>1. Mở trang Cẩm nang
2. Kiểm tra 5 bài viết hiển thị</t>
  </si>
  <si>
    <t xml:space="preserve">6 card hiển thị đúng 6 tin cẩm nang đầu theo thứ tự mới nhất </t>
  </si>
  <si>
    <t>Mở chi tiết</t>
  </si>
  <si>
    <t>Click card bài viết</t>
  </si>
  <si>
    <t>Trang Cẩm nang có card bài viết</t>
  </si>
  <si>
    <t>1. Click vào một card</t>
  </si>
  <si>
    <t>Điều hướng sang màn Chi tiết bài viết tương ứng</t>
  </si>
  <si>
    <t>Click ảnh trên card</t>
  </si>
  <si>
    <t>Card có ảnh</t>
  </si>
  <si>
    <t>1. Click vùng ảnh card</t>
  </si>
  <si>
    <t>Click tiêu đề trên card</t>
  </si>
  <si>
    <t>Card có tiêu đề</t>
  </si>
  <si>
    <t>1. Click vùng tiêu đề</t>
  </si>
  <si>
    <t>Click mô tả trên card</t>
  </si>
  <si>
    <t>Card có mô tả</t>
  </si>
  <si>
    <t>1. Click vùng mô tả</t>
  </si>
  <si>
    <t>Double click card</t>
  </si>
  <si>
    <t>Card hiển thị</t>
  </si>
  <si>
    <t>1. Double click card</t>
  </si>
  <si>
    <t>Chỉ mở một màn chi tiết, không gọi request trùng gây lỗi</t>
  </si>
  <si>
    <t>Bài viết bị xóa giữa lúc hiển thị</t>
  </si>
  <si>
    <t>Card đã render nhưng bài bị xóa backend</t>
  </si>
  <si>
    <t>API chi tiết bài viết lỗi</t>
  </si>
  <si>
    <t>Click card, API detail lỗi</t>
  </si>
  <si>
    <t>1. Click card2. Giả lập API detail lỗi</t>
  </si>
  <si>
    <t>Loading khi mở chi tiết</t>
  </si>
  <si>
    <t>API chi tiết trả chậm</t>
  </si>
  <si>
    <t>1. Click card bài viết</t>
  </si>
  <si>
    <t>URL chi tiết bài viết cập nhật đúng</t>
  </si>
  <si>
    <t>Ứng dụng có route chi tiết bài viết</t>
  </si>
  <si>
    <t>article slug/id</t>
  </si>
  <si>
    <t>URL/state tương ứng đúng bài viết được mở</t>
  </si>
  <si>
    <t>Refresh màn chi tiết bài viết</t>
  </si>
  <si>
    <t>Đang ở màn chi tiết bài viết</t>
  </si>
  <si>
    <t>1. Reload trình duyệt</t>
  </si>
  <si>
    <t>URL chi tiết</t>
  </si>
  <si>
    <t>Màn chi tiết load lại đúng bài viết hiện tại</t>
  </si>
  <si>
    <t xml:space="preserve">Điều hướng sang Chi tiết bài viết </t>
  </si>
  <si>
    <t>1. Mở danh sách
2. Backend xóa bài
3. Click card</t>
  </si>
  <si>
    <t>Hiển thị trang 404</t>
  </si>
  <si>
    <t>Hiển thị lỗi tải bài viết và cho phép quay lại</t>
  </si>
  <si>
    <t>Hiển thị loading trong màn chi tiết bài viết</t>
  </si>
  <si>
    <t>1. Click card
2. Quan sát URL</t>
  </si>
  <si>
    <t>Chi tiết bài viết</t>
  </si>
  <si>
    <t>Hiển thị tiêu đề bài viết</t>
  </si>
  <si>
    <t>API trả tiêu đề</t>
  </si>
  <si>
    <t>1. Mở chi tiết bài viết</t>
  </si>
  <si>
    <t>Tiêu đề hiển thị đúng, font lớn, không lỗi chính tả</t>
  </si>
  <si>
    <t>Tiêu đề được wrap hợp lý, không tràn layout</t>
  </si>
  <si>
    <t>Hiển thị ngày đăng</t>
  </si>
  <si>
    <t>1. Quan sát dưới tiêu đề</t>
  </si>
  <si>
    <t>Thứ Ba, 27/01/2026, 00:00 (GMT +7)</t>
  </si>
  <si>
    <t>Ngày đăng hiển thị đúng format và timezone</t>
  </si>
  <si>
    <t>Mở chi tiết bài viết</t>
  </si>
  <si>
    <t>1. Quan sát vùng action cạnh ngày đăng</t>
  </si>
  <si>
    <t>Hiển thị nút Chia sẻ</t>
  </si>
  <si>
    <t>Chia sẻ</t>
  </si>
  <si>
    <t>Member chia sẻ bài viết</t>
  </si>
  <si>
    <t>Member đang ở chi tiết bài viết</t>
  </si>
  <si>
    <t>1. Click Chia sẻ</t>
  </si>
  <si>
    <t>Guest chia sẻ bài viết</t>
  </si>
  <si>
    <t>Guest đang ở chi tiết bài viết</t>
  </si>
  <si>
    <t>Hiển thị action Chia sẻ</t>
  </si>
  <si>
    <t xml:space="preserve">Thực hiện popup chia sẻ/copy link </t>
  </si>
  <si>
    <t>Nội dung bài viết</t>
  </si>
  <si>
    <t>Hiển thị đoạn văn dài</t>
  </si>
  <si>
    <t>Bài viết có nội dung dài</t>
  </si>
  <si>
    <t>1. Cuộn toàn bộ bài viết</t>
  </si>
  <si>
    <t>Nội dung hiển thị đầy đủ, dễ đọc, không tràn layout</t>
  </si>
  <si>
    <t>Hiển thị ảnh trong bài</t>
  </si>
  <si>
    <t>Bài viết có ảnh nội dung</t>
  </si>
  <si>
    <t>1. Cuộn đến ảnh trong bài</t>
  </si>
  <si>
    <t>Ảnh hiển thị đúng kích thước, bo góc nếu có, không vượt khung nội dung</t>
  </si>
  <si>
    <t>Ảnh trong bài lỗi tải</t>
  </si>
  <si>
    <t>Ảnh nội dung lỗi</t>
  </si>
  <si>
    <t>1. Mở bài viết có ảnh lỗi</t>
  </si>
  <si>
    <t>Hiển thị placeholder/fallback, bài viết vẫn đọc được</t>
  </si>
  <si>
    <t>Link trong bài viết</t>
  </si>
  <si>
    <t>Bài viết có link</t>
  </si>
  <si>
    <t>1. Click link trong nội dung</t>
  </si>
  <si>
    <t>URL hợp lệ</t>
  </si>
  <si>
    <t>Link mở đúng target theo thiết kế, không làm mất dữ liệu không mong muốn</t>
  </si>
  <si>
    <t>Nội dung thiếu body</t>
  </si>
  <si>
    <t>API trả body null</t>
  </si>
  <si>
    <t>body null</t>
  </si>
  <si>
    <t>Hiển thị trạng thái không có nội dung</t>
  </si>
  <si>
    <t>Sidebar phải</t>
  </si>
  <si>
    <t>1. Quan sát sidebar phải</t>
  </si>
  <si>
    <t>Hiển thị banner LandBase Map</t>
  </si>
  <si>
    <t>LandBase Map banner</t>
  </si>
  <si>
    <t>Banner “LANDBASE MAP” hiển thị đúng màu tím, nội dung và button “Khám phá ngay”</t>
  </si>
  <si>
    <t>Click Khám phá ngay</t>
  </si>
  <si>
    <t>Banner LandBase Map đang hiển thị</t>
  </si>
  <si>
    <t>1. Click Khám phá ngay</t>
  </si>
  <si>
    <t>Điều hướng sang màn LandBase Map/Bản đồ</t>
  </si>
  <si>
    <t>Truy cập Tài liệu</t>
  </si>
  <si>
    <t>Guest truy cập màn Tài liệu</t>
  </si>
  <si>
    <t>Member truy cập màn Tài liệu</t>
  </si>
  <si>
    <t>Menu Tài liệu active</t>
  </si>
  <si>
    <t>Đang ở màn Tài liệu</t>
  </si>
  <si>
    <t>Menu Tài liệu được highlight, đúng icon và trạng thái active</t>
  </si>
  <si>
    <t>Hiển thị đầy đủ menu sidebar</t>
  </si>
  <si>
    <t>Hiển thị các menu: Trang chủ, Bản đồ, Tin rao vặt, Tin tức thị trường, Cẩm nang, Tài liệu, Bảng giá</t>
  </si>
  <si>
    <t>Điều hướng sang Bảng giá</t>
  </si>
  <si>
    <t>1. Click menu Bảng giá</t>
  </si>
  <si>
    <t>Điều hướng đúng sang màn Bảng giá</t>
  </si>
  <si>
    <t>Hiển thị banner Tài nguyên BĐS</t>
  </si>
  <si>
    <t>1. Quan sát phần banner đầu trang</t>
  </si>
  <si>
    <t>Banner hiển thị ảnh nền thành phố và tiêu đề “Tài nguyên BĐS”</t>
  </si>
  <si>
    <t>1. Mở màn Tài liệu</t>
  </si>
  <si>
    <t>1. Mở LandBase
2. Click menu Tài liệu</t>
  </si>
  <si>
    <t>1. Đăng nhập
2. Click menu Tài liệu</t>
  </si>
  <si>
    <t>Trang Tài liệu mở thành công</t>
  </si>
  <si>
    <t>Mở màn đăng nhập</t>
  </si>
  <si>
    <t>Hiển thị placeholderr, không làm lỗi toàn trang</t>
  </si>
  <si>
    <t>Video</t>
  </si>
  <si>
    <t>Hiển thị section Video</t>
  </si>
  <si>
    <t>Màn Tài liệu có dữ liệu video</t>
  </si>
  <si>
    <t>Video list</t>
  </si>
  <si>
    <t>Hiển thị tiêu đề “Video” và danh sách video đúng thiết kế</t>
  </si>
  <si>
    <t>Hiển thị card video</t>
  </si>
  <si>
    <t>Có video trong danh sách</t>
  </si>
  <si>
    <t>1. Quan sát card video</t>
  </si>
  <si>
    <t>Card video hiển thị thumbnail, icon play và tiêu đề video</t>
  </si>
  <si>
    <t>Thumbnail video lỗi tải</t>
  </si>
  <si>
    <t>Video có thumbnail lỗi</t>
  </si>
  <si>
    <t>Click video để phát</t>
  </si>
  <si>
    <t>Có video hiển thị</t>
  </si>
  <si>
    <t>1. Click icon play trên video</t>
  </si>
  <si>
    <t>Player hiển thị overlay khi phát video</t>
  </si>
  <si>
    <t>Video đang phát</t>
  </si>
  <si>
    <t>Nền phía sau bị làm mờ, video player hiển thị nổi phía trên</t>
  </si>
  <si>
    <t>Tạm dừng video</t>
  </si>
  <si>
    <t>1. Click nút pause</t>
  </si>
  <si>
    <t>Video tạm dừng, icon trạng thái cập nhật đúng</t>
  </si>
  <si>
    <t>Tiếp tục phát video</t>
  </si>
  <si>
    <t>Video đang pause</t>
  </si>
  <si>
    <t>1. Click nút play</t>
  </si>
  <si>
    <t>Video tiếp tục phát từ vị trí đã pause</t>
  </si>
  <si>
    <t>Tua video bằng thanh timeline</t>
  </si>
  <si>
    <t>Video player đang mở</t>
  </si>
  <si>
    <t>1. Kéo timeline đến thời điểm khác</t>
  </si>
  <si>
    <t>Video chuyển đến đúng thời điểm được chọn</t>
  </si>
  <si>
    <t>Bật/tắt âm lượng</t>
  </si>
  <si>
    <t>1. Click icon âm lượng</t>
  </si>
  <si>
    <t>Âm lượng được bật/tắt đúng trạng thái</t>
  </si>
  <si>
    <t>Bật phụ đề CC nếu có</t>
  </si>
  <si>
    <t>Video có phụ đề</t>
  </si>
  <si>
    <t>1. Click CC</t>
  </si>
  <si>
    <t>Phụ đề được bật/tắt theo trạng thái người dùng chọn</t>
  </si>
  <si>
    <t>Mở cài đặt video</t>
  </si>
  <si>
    <t>1. Click icon setting</t>
  </si>
  <si>
    <t>Hiển thị menu cài đặt video nếu có</t>
  </si>
  <si>
    <t>Đóng video player</t>
  </si>
  <si>
    <t>1. Click X hoặc vùng đóng theo thiết kế</t>
  </si>
  <si>
    <t>Player đóng, quay lại màn Tài liệu trước đó</t>
  </si>
  <si>
    <t>Video lỗi phát</t>
  </si>
  <si>
    <t>Video URL lỗi hoặc bị chặn</t>
  </si>
  <si>
    <t>1. Click video</t>
  </si>
  <si>
    <t>Hiển thị thông báo không phát được video, không làm treo màn hình</t>
  </si>
  <si>
    <t>1. Mở màn Tài liệu
2. Quan sát section Video</t>
  </si>
  <si>
    <t>Hiển thị placeholder, không làm lỗi card</t>
  </si>
  <si>
    <t>1. Click video
2. Quan sát màn hình</t>
  </si>
  <si>
    <t>Mở player/video overlay và sẵn sàng phát video</t>
  </si>
  <si>
    <t>Tài liệu chuyên gia</t>
  </si>
  <si>
    <t>Hiển thị section Tài liệu chuyên gia</t>
  </si>
  <si>
    <t>Màn Tài liệu có dữ liệu tài liệu</t>
  </si>
  <si>
    <t>1. Cuộn đến section Tài liệu chuyên gia</t>
  </si>
  <si>
    <t>Hiển thị tiêu đề “Tài liệu chuyên gia”</t>
  </si>
  <si>
    <t>Hiển thị danh sách tài liệu</t>
  </si>
  <si>
    <t>Có dữ liệu tài liệu</t>
  </si>
  <si>
    <t>Hiển thị danh sách tài liệu theo dạng list, mỗi dòng gồm ảnh, tiêu đề, mô tả, ngày đăng</t>
  </si>
  <si>
    <t>Hiển thị thumbnail tài liệu</t>
  </si>
  <si>
    <t>Tài liệu có ảnh đại diện</t>
  </si>
  <si>
    <t>1. Quan sát item tài liệu</t>
  </si>
  <si>
    <t>Thumbnail tài liệu hiển thị đúng vị trí bên trái</t>
  </si>
  <si>
    <t>Thumbnail tài liệu lỗi tải</t>
  </si>
  <si>
    <t>Ảnh tài liệu lỗi</t>
  </si>
  <si>
    <t>1. Mở danh sách tài liệu</t>
  </si>
  <si>
    <t>Hiển thị placeholder/ảnh mặc định, vẫn hiển thị tiêu đề và mô tả</t>
  </si>
  <si>
    <t>Hiển thị tiêu đề tài liệu</t>
  </si>
  <si>
    <t>Tài liệu có tiêu đề</t>
  </si>
  <si>
    <t>Tiêu đề hiển thị đúng, font nổi bật, không lỗi chính tả</t>
  </si>
  <si>
    <t>Hiển thị mô tả tài liệu</t>
  </si>
  <si>
    <t>Tài liệu có mô tả</t>
  </si>
  <si>
    <t>Mô tả hiển thị dưới tiêu đề, không vỡ layout</t>
  </si>
  <si>
    <t>Hiển thị ngày đăng tài liệu</t>
  </si>
  <si>
    <t>Tài liệu có ngày đăng</t>
  </si>
  <si>
    <t>1. Quan sát cuối item tài liệu</t>
  </si>
  <si>
    <t>Ngày đăng hiển thị đúng format</t>
  </si>
  <si>
    <t>Tài liệu có tiêu đề dài</t>
  </si>
  <si>
    <t>Tiêu đề được wrap/truncate phù hợp, không tràn layout</t>
  </si>
  <si>
    <t>Tài liệu có mô tả dài</t>
  </si>
  <si>
    <t>Mô tả được wrap/truncate theo thiết kế</t>
  </si>
  <si>
    <t>Tài liệu thiếu mô tả</t>
  </si>
  <si>
    <t>API trả description null</t>
  </si>
  <si>
    <t>Danh sách tài liệu rỗng</t>
  </si>
  <si>
    <t>API danh sách tài liệu lỗi</t>
  </si>
  <si>
    <t>Service tài liệu lỗi</t>
  </si>
  <si>
    <t>1. Mở màn Tài liệu
2. Quan sát danh sách</t>
  </si>
  <si>
    <t>1. Mở màn Tài liệu
2. Giả lập API lỗi</t>
  </si>
  <si>
    <t xml:space="preserve">Item vẫn hiển thị thumbnail, tiêu đề, ngày đăng; mô tả ẩn </t>
  </si>
  <si>
    <t>Hiển thị empty state, không render item rỗng</t>
  </si>
  <si>
    <t>Hiển thị lỗi dữ liệu, không làm lỗi toàn trang</t>
  </si>
  <si>
    <t>Xem tài liệu PDF</t>
  </si>
  <si>
    <t>Guest click tài liệu chuyên gia</t>
  </si>
  <si>
    <t>User chưa đăng nhập, đang ở danh sách tài liệu</t>
  </si>
  <si>
    <t>1. Click một tài liệu chuyên gia</t>
  </si>
  <si>
    <t>Không mở PDF; hiển thị popup Đăng nhập</t>
  </si>
  <si>
    <t>Popup đăng nhập hiển thị khi Guest click tài liệu</t>
  </si>
  <si>
    <t>Guest click tài liệu</t>
  </si>
  <si>
    <t>Popup Đăng nhập hiển thị, nền phía sau bị overlay mờ</t>
  </si>
  <si>
    <t>Không mở tab PDF khi Guest chưa đăng nhập</t>
  </si>
  <si>
    <t>1. Click tài liệu chuyên gia</t>
  </si>
  <si>
    <t>Không mở tab mới, không tải file PDF khi user chưa đăng nhập</t>
  </si>
  <si>
    <t>Member click tài liệu chuyên gia</t>
  </si>
  <si>
    <t>Hệ thống mở file PDF của tài liệu ở tab mới</t>
  </si>
  <si>
    <t>PDF mở đúng tài liệu được chọn</t>
  </si>
  <si>
    <t>Click nhiều tài liệu khác nhau</t>
  </si>
  <si>
    <t>Mỗi tài liệu mở đúng PDF riêng ở tab mới</t>
  </si>
  <si>
    <t>PDF URL lỗi hoặc file không tồn tại</t>
  </si>
  <si>
    <t>User đã đăng nhập, tài liệu có URL lỗi</t>
  </si>
  <si>
    <t>1. Click tài liệu</t>
  </si>
  <si>
    <t>Tab mới hiển thị lỗi không tìm thấy file hoặc hệ thống hiển thị thông báo phù hợp</t>
  </si>
  <si>
    <t>Đóng popup đăng nhập sau khi click tài liệu</t>
  </si>
  <si>
    <t>Popup đăng nhập đang mở do click tài liệu</t>
  </si>
  <si>
    <t>1. Click X trên popup</t>
  </si>
  <si>
    <t>Popup đóng, vẫn ở màn Tài liệu, không mở PDF</t>
  </si>
  <si>
    <t>Không truy cập PDF trực tiếp khi chưa đăng nhập</t>
  </si>
  <si>
    <t>User chưa đăng nhập, có URL PDF</t>
  </si>
  <si>
    <t>1. Mở trực tiếp URL PDF trên tab mới</t>
  </si>
  <si>
    <t>PDF URL</t>
  </si>
  <si>
    <t>Truy cập PDF trực tiếp khi đã đăng nhập</t>
  </si>
  <si>
    <t>User đã đăng nhập, có URL PDF hợp lệ</t>
  </si>
  <si>
    <t>1. Mở trực tiếp URL PDF</t>
  </si>
  <si>
    <t>PDF được mở</t>
  </si>
  <si>
    <t>Hệ thống chặn truy cập và yêu cầu đăng nhập, không cho xem tài liệu nếu chưa đăng nhập</t>
  </si>
  <si>
    <t>1. Click tài liệu
2. Quan sát popup</t>
  </si>
  <si>
    <t>1. Mở màn Tài liệu
2. Click một tài liệu chuyên gia</t>
  </si>
  <si>
    <t>1. Click tài liệu A
2. Kiểm tra tab PDF mới</t>
  </si>
  <si>
    <t>Tab mới mở đúng file PDF tương ứng với tài liệu, không mở sai tài liệu khác</t>
  </si>
  <si>
    <t>1. Click tài liệu A
2. Quay lại tab cũ
3. Click tài liệu B</t>
  </si>
  <si>
    <t>Phân trang</t>
  </si>
  <si>
    <t>Hiển thị phân trang danh sách tài liệu</t>
  </si>
  <si>
    <t>Có nhiều trang tài liệu</t>
  </si>
  <si>
    <t>1. Cuộn xuống cuối danh sách tài liệu</t>
  </si>
  <si>
    <t>Page 1, 2, ..., 48</t>
  </si>
  <si>
    <t>Hiển thị phân trang gồm Trước, số trang, dấu ..., Sau</t>
  </si>
  <si>
    <t>Click trang số 2</t>
  </si>
  <si>
    <t>Đang ở trang 1</t>
  </si>
  <si>
    <t>1. Click số trang 2</t>
  </si>
  <si>
    <t>Page 2</t>
  </si>
  <si>
    <t>Danh sách tài liệu cập nhật dữ liệu trang 2, trang 2 active</t>
  </si>
  <si>
    <t>Click Sau</t>
  </si>
  <si>
    <t>1. Click Sau</t>
  </si>
  <si>
    <t>Next page</t>
  </si>
  <si>
    <t>Điều hướng sang trang kế tiếp, danh sách cập nhật đúng</t>
  </si>
  <si>
    <t>Click Trước ở trang đầu</t>
  </si>
  <si>
    <t>1. Quan sát/click Trước</t>
  </si>
  <si>
    <t>Page 1</t>
  </si>
  <si>
    <t>Click trang cuối</t>
  </si>
  <si>
    <t>Có nhiều trang</t>
  </si>
  <si>
    <t>1. Click trang cuối nếu hiển thị hoặc qua dấu ... theo thiết kế</t>
  </si>
  <si>
    <t>Page 48</t>
  </si>
  <si>
    <t>Danh sách hiển thị dữ liệu trang cuối, trang cuối active</t>
  </si>
  <si>
    <t>Click Sau ở trang cuối</t>
  </si>
  <si>
    <t>Đang ở trang cuối</t>
  </si>
  <si>
    <t>Last page</t>
  </si>
  <si>
    <t>Nút Trước disabled</t>
  </si>
  <si>
    <t>Nút Sau disabled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</si>
</sst>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>
    <font>
      <sz val="11"/>
      <color theme="1"/>
      <name val="Arial"/>
      <family val="2"/>
      <scheme val="minor"/>
    </font>
    <font>
      <b/>
      <sz val="16"/>
      <name val="Times New Roman"/>
    </font>
    <font>
      <sz val="16"/>
      <name val="Times New Roman"/>
      <family val="1"/>
    </font>
    <font>
      <b/>
      <sz val="11"/>
      <name val="Times New Roman"/>
    </font>
    <font>
      <b/>
      <sz val="11"/>
      <color rgb="FFFF0000"/>
      <name val="Times New Roman"/>
    </font>
    <font>
      <b/>
      <sz val="11"/>
      <color rgb="FF333333"/>
      <name val="Times New Roman"/>
    </font>
    <font>
      <sz val="11"/>
      <name val="Times New Roman"/>
    </font>
    <font>
      <i/>
      <sz val="9"/>
      <name val="Times New Roman"/>
      <family val="1"/>
    </font>
    <font>
      <sz val="9"/>
      <name val="Times New Roman"/>
      <family val="1"/>
    </font>
    <font>
      <b/>
      <sz val="11"/>
      <color theme="1"/>
      <name val="Times New Roman"/>
    </font>
    <font>
      <i/>
      <sz val="9"/>
      <color theme="1"/>
      <name val="Times New Roman"/>
      <family val="1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indexed="9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wrapText="1"/>
    </xf>
    <xf numFmtId="0" fontId="3" fillId="3" borderId="11" xfId="0" applyFont="1" applyFill="1" applyBorder="1" applyAlignment="1">
      <alignment vertical="center" wrapText="1"/>
    </xf>
    <xf numFmtId="0" fontId="4" fillId="0" borderId="12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right" vertical="center" wrapText="1"/>
    </xf>
    <xf numFmtId="0" fontId="3" fillId="3" borderId="0" xfId="0" applyFont="1" applyFill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8" xfId="0" applyFont="1" applyFill="1" applyBorder="1" applyAlignment="1">
      <alignment horizontal="left" vertical="center" wrapText="1"/>
    </xf>
    <xf numFmtId="0" fontId="3" fillId="3" borderId="9" xfId="0" applyFont="1" applyFill="1" applyBorder="1" applyAlignment="1">
      <alignment vertical="center" wrapText="1"/>
    </xf>
    <xf numFmtId="0" fontId="3" fillId="3" borderId="10" xfId="0" applyFont="1" applyFill="1" applyBorder="1" applyAlignment="1">
      <alignment vertical="center" wrapText="1"/>
    </xf>
    <xf numFmtId="0" fontId="3" fillId="3" borderId="1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2F83612-7BA3-4466-8CB2-557B93311B8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9"/>
  <sheetViews>
    <sheetView tabSelected="1" topLeftCell="C50" zoomScaleNormal="100" workbookViewId="0">
      <selection activeCell="L59" sqref="L59"/>
    </sheetView>
  </sheetViews>
  <sheetFormatPr defaultRowHeight="13.8"/>
  <cols>
    <col min="1" max="1" width="17.09765625" customWidth="1"/>
    <col min="2" max="3" width="20.296875" customWidth="1"/>
    <col min="4" max="4" width="19.3984375" customWidth="1"/>
    <col min="5" max="5" width="44.09765625" customWidth="1"/>
    <col min="6" max="6" width="20.09765625" customWidth="1"/>
    <col min="7" max="7" width="22.3984375" customWidth="1"/>
    <col min="8" max="8" width="15.8984375" customWidth="1"/>
    <col min="9" max="9" width="12.3984375" customWidth="1"/>
    <col min="10" max="10" width="13.19921875" customWidth="1"/>
    <col min="11" max="11" width="11.59765625" customWidth="1"/>
  </cols>
  <sheetData>
    <row r="1" spans="1:11">
      <c r="A1" s="11" t="s">
        <v>0</v>
      </c>
      <c r="B1" s="12"/>
      <c r="C1" s="12"/>
      <c r="D1" s="12"/>
      <c r="E1" s="13"/>
      <c r="F1" s="1"/>
      <c r="G1" s="1"/>
      <c r="H1" s="1"/>
      <c r="I1" s="1"/>
      <c r="J1" s="1"/>
      <c r="K1" s="1"/>
    </row>
    <row r="2" spans="1:11">
      <c r="A2" s="14"/>
      <c r="B2" s="15"/>
      <c r="C2" s="15"/>
      <c r="D2" s="15"/>
      <c r="E2" s="16"/>
      <c r="F2" s="1"/>
      <c r="G2" s="1"/>
      <c r="H2" s="1"/>
      <c r="I2" s="1"/>
      <c r="J2" s="1"/>
      <c r="K2" s="1"/>
    </row>
    <row r="3" spans="1:11">
      <c r="A3" s="17"/>
      <c r="B3" s="18"/>
      <c r="C3" s="18"/>
      <c r="D3" s="18"/>
      <c r="E3" s="19"/>
      <c r="F3" s="1"/>
      <c r="G3" s="1"/>
      <c r="H3" s="1"/>
      <c r="I3" s="1"/>
      <c r="J3" s="1"/>
      <c r="K3" s="1"/>
    </row>
    <row r="4" spans="1:11">
      <c r="A4" s="20" t="s">
        <v>1</v>
      </c>
      <c r="B4" s="21"/>
      <c r="C4" s="22"/>
      <c r="D4" s="2" t="s">
        <v>2</v>
      </c>
      <c r="E4" s="3">
        <f>COUNTIF(H11:H330,"PASS")</f>
        <v>0</v>
      </c>
      <c r="F4" s="4"/>
      <c r="G4" s="4"/>
      <c r="H4" s="4"/>
      <c r="I4" s="4"/>
      <c r="J4" s="4"/>
      <c r="K4" s="4"/>
    </row>
    <row r="5" spans="1:11">
      <c r="A5" s="20" t="s">
        <v>3</v>
      </c>
      <c r="B5" s="21"/>
      <c r="C5" s="22"/>
      <c r="D5" s="2"/>
      <c r="E5" s="3">
        <f>COUNTIF(H11:H330,"FAIL")</f>
        <v>0</v>
      </c>
      <c r="F5" s="4"/>
      <c r="G5" s="4"/>
      <c r="H5" s="4"/>
      <c r="I5" s="4"/>
      <c r="J5" s="4"/>
      <c r="K5" s="4"/>
    </row>
    <row r="6" spans="1:11">
      <c r="A6" s="20" t="s">
        <v>4</v>
      </c>
      <c r="B6" s="21"/>
      <c r="C6" s="22"/>
      <c r="D6" s="2"/>
      <c r="E6" s="3">
        <f>COUNTIF(H11:H330,"Pending")</f>
        <v>0</v>
      </c>
      <c r="G6" s="4"/>
      <c r="H6" s="4"/>
      <c r="I6" s="4"/>
      <c r="J6" s="4"/>
      <c r="K6" s="4"/>
    </row>
    <row r="7" spans="1:11">
      <c r="A7" s="20" t="s">
        <v>5</v>
      </c>
      <c r="B7" s="21"/>
      <c r="C7" s="22"/>
      <c r="D7" s="2"/>
      <c r="E7" s="3">
        <f>COUNTA(H11:H330)</f>
        <v>0</v>
      </c>
      <c r="F7" s="4"/>
      <c r="G7" s="4"/>
      <c r="H7" s="4"/>
      <c r="I7" s="4"/>
      <c r="J7" s="4"/>
      <c r="K7" s="4"/>
    </row>
    <row r="8" spans="1:11">
      <c r="A8" s="5"/>
      <c r="B8" s="6"/>
      <c r="C8" s="6"/>
      <c r="D8" s="6"/>
      <c r="E8" s="6"/>
      <c r="F8" s="7"/>
      <c r="G8" s="7"/>
      <c r="H8" s="7"/>
      <c r="I8" s="7"/>
      <c r="J8" s="7"/>
      <c r="K8" s="7"/>
    </row>
    <row r="9" spans="1:11" ht="37.799999999999997">
      <c r="A9" s="8" t="s">
        <v>6</v>
      </c>
      <c r="B9" s="8" t="s">
        <v>7</v>
      </c>
      <c r="C9" s="8" t="s">
        <v>8</v>
      </c>
      <c r="D9" s="8" t="s">
        <v>9</v>
      </c>
      <c r="E9" s="8" t="s">
        <v>10</v>
      </c>
      <c r="F9" s="8" t="s">
        <v>11</v>
      </c>
      <c r="G9" s="8" t="s">
        <v>12</v>
      </c>
      <c r="H9" s="8" t="s">
        <v>13</v>
      </c>
      <c r="I9" s="8" t="s">
        <v>14</v>
      </c>
      <c r="J9" s="8" t="s">
        <v>15</v>
      </c>
      <c r="K9" s="9" t="s">
        <v>16</v>
      </c>
    </row>
    <row r="10" spans="1:11" ht="41.4">
      <c r="A10" s="4"/>
      <c r="B10" s="4" t="s">
        <v>17</v>
      </c>
      <c r="C10" s="4" t="s">
        <v>18</v>
      </c>
      <c r="D10" s="4" t="s">
        <v>19</v>
      </c>
      <c r="E10" s="4" t="s">
        <v>61</v>
      </c>
      <c r="F10" s="4"/>
      <c r="G10" s="4" t="s">
        <v>21</v>
      </c>
      <c r="H10" s="4"/>
      <c r="I10" s="4"/>
      <c r="J10" s="4"/>
      <c r="K10" s="4"/>
    </row>
    <row r="11" spans="1:11" ht="41.4">
      <c r="A11" s="4"/>
      <c r="B11" s="4" t="s">
        <v>17</v>
      </c>
      <c r="C11" s="4" t="s">
        <v>22</v>
      </c>
      <c r="D11" s="4" t="s">
        <v>23</v>
      </c>
      <c r="E11" s="4" t="s">
        <v>61</v>
      </c>
      <c r="F11" s="4"/>
      <c r="G11" s="4" t="s">
        <v>25</v>
      </c>
      <c r="H11" s="4"/>
      <c r="I11" s="4"/>
      <c r="J11" s="4"/>
      <c r="K11" s="4"/>
    </row>
    <row r="12" spans="1:11" ht="41.4">
      <c r="A12" s="4"/>
      <c r="B12" s="4" t="s">
        <v>26</v>
      </c>
      <c r="C12" s="4" t="s">
        <v>27</v>
      </c>
      <c r="D12" s="4" t="s">
        <v>28</v>
      </c>
      <c r="E12" s="4" t="s">
        <v>29</v>
      </c>
      <c r="F12" s="4" t="s">
        <v>30</v>
      </c>
      <c r="G12" s="4" t="s">
        <v>31</v>
      </c>
      <c r="H12" s="4"/>
      <c r="I12" s="4"/>
      <c r="J12" s="4"/>
      <c r="K12" s="4"/>
    </row>
    <row r="13" spans="1:11" ht="55.2">
      <c r="A13" s="4"/>
      <c r="B13" s="4" t="s">
        <v>26</v>
      </c>
      <c r="C13" s="4" t="s">
        <v>32</v>
      </c>
      <c r="D13" s="4" t="s">
        <v>28</v>
      </c>
      <c r="E13" s="4" t="s">
        <v>33</v>
      </c>
      <c r="F13" s="4" t="s">
        <v>30</v>
      </c>
      <c r="G13" s="4" t="s">
        <v>34</v>
      </c>
      <c r="H13" s="4"/>
      <c r="I13" s="4"/>
      <c r="J13" s="4"/>
      <c r="K13" s="4"/>
    </row>
    <row r="14" spans="1:11" ht="27.6">
      <c r="A14" s="4"/>
      <c r="B14" s="4" t="s">
        <v>26</v>
      </c>
      <c r="C14" s="4" t="s">
        <v>35</v>
      </c>
      <c r="D14" s="4" t="s">
        <v>28</v>
      </c>
      <c r="E14" s="4" t="s">
        <v>36</v>
      </c>
      <c r="F14" s="4" t="s">
        <v>30</v>
      </c>
      <c r="G14" s="4" t="s">
        <v>37</v>
      </c>
      <c r="H14" s="4"/>
      <c r="I14" s="4"/>
      <c r="J14" s="4"/>
      <c r="K14" s="4"/>
    </row>
    <row r="15" spans="1:11" ht="27.6">
      <c r="A15" s="4"/>
      <c r="B15" s="4" t="s">
        <v>26</v>
      </c>
      <c r="C15" s="4" t="s">
        <v>38</v>
      </c>
      <c r="D15" s="4" t="s">
        <v>28</v>
      </c>
      <c r="E15" s="4" t="s">
        <v>39</v>
      </c>
      <c r="F15" s="4" t="s">
        <v>30</v>
      </c>
      <c r="G15" s="4" t="s">
        <v>40</v>
      </c>
      <c r="H15" s="4"/>
      <c r="I15" s="4"/>
      <c r="J15" s="4"/>
      <c r="K15" s="4"/>
    </row>
    <row r="16" spans="1:11" ht="27.6">
      <c r="A16" s="4"/>
      <c r="B16" s="4" t="s">
        <v>26</v>
      </c>
      <c r="C16" s="4" t="s">
        <v>41</v>
      </c>
      <c r="D16" s="4" t="s">
        <v>28</v>
      </c>
      <c r="E16" s="4" t="s">
        <v>42</v>
      </c>
      <c r="F16" s="4" t="s">
        <v>30</v>
      </c>
      <c r="G16" s="4" t="s">
        <v>43</v>
      </c>
      <c r="H16" s="4"/>
      <c r="I16" s="4"/>
      <c r="J16" s="4"/>
      <c r="K16" s="4"/>
    </row>
    <row r="17" spans="1:11" ht="27.6">
      <c r="A17" s="4"/>
      <c r="B17" s="4" t="s">
        <v>26</v>
      </c>
      <c r="C17" s="4" t="s">
        <v>44</v>
      </c>
      <c r="D17" s="4" t="s">
        <v>28</v>
      </c>
      <c r="E17" s="4" t="s">
        <v>45</v>
      </c>
      <c r="F17" s="4" t="s">
        <v>30</v>
      </c>
      <c r="G17" s="4" t="s">
        <v>46</v>
      </c>
      <c r="H17" s="4"/>
      <c r="I17" s="4"/>
      <c r="J17" s="4"/>
      <c r="K17" s="4"/>
    </row>
    <row r="18" spans="1:11" ht="41.4">
      <c r="A18" s="4"/>
      <c r="B18" s="4" t="s">
        <v>47</v>
      </c>
      <c r="C18" s="4" t="s">
        <v>48</v>
      </c>
      <c r="D18" s="4" t="s">
        <v>49</v>
      </c>
      <c r="E18" s="4" t="s">
        <v>62</v>
      </c>
      <c r="F18" s="4" t="s">
        <v>50</v>
      </c>
      <c r="G18" s="4" t="s">
        <v>51</v>
      </c>
      <c r="H18" s="4"/>
      <c r="I18" s="4"/>
      <c r="J18" s="4"/>
      <c r="K18" s="4"/>
    </row>
    <row r="19" spans="1:11">
      <c r="A19" s="4"/>
      <c r="B19" s="4" t="s">
        <v>47</v>
      </c>
      <c r="C19" s="4" t="s">
        <v>52</v>
      </c>
      <c r="D19" s="4" t="s">
        <v>49</v>
      </c>
      <c r="E19" s="4" t="s">
        <v>53</v>
      </c>
      <c r="F19" s="4"/>
      <c r="G19" s="4" t="s">
        <v>63</v>
      </c>
      <c r="H19" s="4"/>
      <c r="I19" s="4"/>
      <c r="J19" s="4"/>
      <c r="K19" s="4"/>
    </row>
    <row r="20" spans="1:11">
      <c r="A20" s="4"/>
      <c r="B20" s="4" t="s">
        <v>47</v>
      </c>
      <c r="C20" s="4" t="s">
        <v>54</v>
      </c>
      <c r="D20" s="4" t="s">
        <v>49</v>
      </c>
      <c r="E20" s="4" t="s">
        <v>55</v>
      </c>
      <c r="F20" s="4" t="s">
        <v>30</v>
      </c>
      <c r="G20" s="4" t="s">
        <v>64</v>
      </c>
      <c r="H20" s="4"/>
      <c r="I20" s="4"/>
      <c r="J20" s="4"/>
      <c r="K20" s="4"/>
    </row>
    <row r="21" spans="1:11" ht="41.4">
      <c r="A21" s="4"/>
      <c r="B21" s="4" t="s">
        <v>56</v>
      </c>
      <c r="C21" s="4" t="s">
        <v>57</v>
      </c>
      <c r="D21" s="4" t="s">
        <v>58</v>
      </c>
      <c r="E21" s="4" t="s">
        <v>65</v>
      </c>
      <c r="F21" s="4" t="s">
        <v>59</v>
      </c>
      <c r="G21" s="4" t="s">
        <v>60</v>
      </c>
      <c r="H21" s="4"/>
      <c r="I21" s="4"/>
      <c r="J21" s="4"/>
      <c r="K21" s="4"/>
    </row>
    <row r="22" spans="1:1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 ht="41.4">
      <c r="A23" s="4"/>
      <c r="B23" s="4" t="s">
        <v>66</v>
      </c>
      <c r="C23" s="4" t="s">
        <v>67</v>
      </c>
      <c r="D23" s="4" t="s">
        <v>28</v>
      </c>
      <c r="E23" s="4" t="s">
        <v>68</v>
      </c>
      <c r="F23" s="4" t="s">
        <v>30</v>
      </c>
      <c r="G23" s="4" t="s">
        <v>69</v>
      </c>
      <c r="H23" s="4"/>
      <c r="I23" s="4"/>
      <c r="J23" s="4"/>
      <c r="K23" s="4"/>
    </row>
    <row r="24" spans="1:11" ht="69">
      <c r="A24" s="4"/>
      <c r="B24" s="4" t="s">
        <v>74</v>
      </c>
      <c r="C24" s="4" t="s">
        <v>75</v>
      </c>
      <c r="D24" s="4" t="s">
        <v>28</v>
      </c>
      <c r="E24" s="4" t="s">
        <v>76</v>
      </c>
      <c r="F24" s="4" t="s">
        <v>30</v>
      </c>
      <c r="G24" s="4" t="s">
        <v>77</v>
      </c>
      <c r="H24" s="4"/>
      <c r="I24" s="4"/>
      <c r="J24" s="4"/>
      <c r="K24" s="4"/>
    </row>
    <row r="25" spans="1:11" ht="27.6">
      <c r="A25" s="4"/>
      <c r="B25" s="4" t="s">
        <v>74</v>
      </c>
      <c r="C25" s="4" t="s">
        <v>78</v>
      </c>
      <c r="D25" s="4" t="s">
        <v>79</v>
      </c>
      <c r="E25" s="4" t="s">
        <v>116</v>
      </c>
      <c r="F25" s="4" t="s">
        <v>80</v>
      </c>
      <c r="G25" s="4" t="s">
        <v>81</v>
      </c>
      <c r="H25" s="4"/>
      <c r="I25" s="4"/>
      <c r="J25" s="4"/>
      <c r="K25" s="4"/>
    </row>
    <row r="26" spans="1:11" ht="41.4">
      <c r="A26" s="4"/>
      <c r="B26" s="4" t="s">
        <v>74</v>
      </c>
      <c r="C26" s="4" t="s">
        <v>82</v>
      </c>
      <c r="D26" s="4" t="s">
        <v>79</v>
      </c>
      <c r="E26" s="4" t="s">
        <v>118</v>
      </c>
      <c r="F26" s="4" t="s">
        <v>83</v>
      </c>
      <c r="G26" s="4" t="s">
        <v>84</v>
      </c>
      <c r="H26" s="4"/>
      <c r="I26" s="4"/>
      <c r="J26" s="4"/>
      <c r="K26" s="4"/>
    </row>
    <row r="27" spans="1:11" ht="27.6">
      <c r="A27" s="4"/>
      <c r="B27" s="4" t="s">
        <v>74</v>
      </c>
      <c r="C27" s="4" t="s">
        <v>85</v>
      </c>
      <c r="D27" s="4" t="s">
        <v>79</v>
      </c>
      <c r="E27" s="4" t="s">
        <v>119</v>
      </c>
      <c r="F27" s="4" t="s">
        <v>86</v>
      </c>
      <c r="G27" s="4" t="s">
        <v>117</v>
      </c>
      <c r="H27" s="4"/>
      <c r="I27" s="4"/>
      <c r="J27" s="4"/>
      <c r="K27" s="4"/>
    </row>
    <row r="28" spans="1:11" ht="41.4">
      <c r="A28" s="4"/>
      <c r="B28" s="4" t="s">
        <v>74</v>
      </c>
      <c r="C28" s="4" t="s">
        <v>87</v>
      </c>
      <c r="D28" s="4" t="s">
        <v>88</v>
      </c>
      <c r="E28" s="4" t="s">
        <v>120</v>
      </c>
      <c r="F28" s="4" t="s">
        <v>89</v>
      </c>
      <c r="G28" s="4" t="s">
        <v>90</v>
      </c>
      <c r="H28" s="4"/>
      <c r="I28" s="4"/>
      <c r="J28" s="4"/>
      <c r="K28" s="4"/>
    </row>
    <row r="29" spans="1:11" ht="41.4">
      <c r="A29" s="4"/>
      <c r="B29" s="4" t="s">
        <v>74</v>
      </c>
      <c r="C29" s="4" t="s">
        <v>91</v>
      </c>
      <c r="D29" s="4" t="s">
        <v>79</v>
      </c>
      <c r="E29" s="4" t="s">
        <v>121</v>
      </c>
      <c r="F29" s="4" t="s">
        <v>92</v>
      </c>
      <c r="G29" s="4" t="s">
        <v>93</v>
      </c>
      <c r="H29" s="4"/>
      <c r="I29" s="4"/>
      <c r="J29" s="4"/>
      <c r="K29" s="4"/>
    </row>
    <row r="30" spans="1:11" ht="27.6">
      <c r="A30" s="4"/>
      <c r="B30" s="4" t="s">
        <v>74</v>
      </c>
      <c r="C30" s="4" t="s">
        <v>94</v>
      </c>
      <c r="D30" s="4" t="s">
        <v>95</v>
      </c>
      <c r="E30" s="4" t="s">
        <v>122</v>
      </c>
      <c r="F30" s="4" t="s">
        <v>96</v>
      </c>
      <c r="G30" s="4" t="s">
        <v>97</v>
      </c>
      <c r="H30" s="4"/>
      <c r="I30" s="4"/>
      <c r="J30" s="4"/>
      <c r="K30" s="4"/>
    </row>
    <row r="31" spans="1:11" ht="55.2">
      <c r="A31" s="4"/>
      <c r="B31" s="4" t="s">
        <v>74</v>
      </c>
      <c r="C31" s="4" t="s">
        <v>98</v>
      </c>
      <c r="D31" s="4" t="s">
        <v>99</v>
      </c>
      <c r="E31" s="4" t="s">
        <v>123</v>
      </c>
      <c r="F31" s="4" t="s">
        <v>100</v>
      </c>
      <c r="G31" s="4" t="s">
        <v>101</v>
      </c>
      <c r="H31" s="4"/>
      <c r="I31" s="4"/>
      <c r="J31" s="4"/>
      <c r="K31" s="4"/>
    </row>
    <row r="32" spans="1:11" ht="41.4">
      <c r="A32" s="4"/>
      <c r="B32" s="4" t="s">
        <v>74</v>
      </c>
      <c r="C32" s="4" t="s">
        <v>102</v>
      </c>
      <c r="D32" s="4" t="s">
        <v>103</v>
      </c>
      <c r="E32" s="4" t="s">
        <v>124</v>
      </c>
      <c r="F32" s="10" t="s">
        <v>104</v>
      </c>
      <c r="G32" s="4" t="s">
        <v>105</v>
      </c>
      <c r="H32" s="4"/>
      <c r="I32" s="4"/>
      <c r="J32" s="4"/>
      <c r="K32" s="4"/>
    </row>
    <row r="33" spans="1:11" ht="27.6">
      <c r="A33" s="4"/>
      <c r="B33" s="4" t="s">
        <v>74</v>
      </c>
      <c r="C33" s="4" t="s">
        <v>106</v>
      </c>
      <c r="D33" s="4" t="s">
        <v>107</v>
      </c>
      <c r="E33" s="4" t="s">
        <v>125</v>
      </c>
      <c r="F33" s="4" t="s">
        <v>108</v>
      </c>
      <c r="G33" s="4" t="s">
        <v>126</v>
      </c>
      <c r="H33" s="4"/>
      <c r="I33" s="4"/>
      <c r="J33" s="4"/>
      <c r="K33" s="4"/>
    </row>
    <row r="34" spans="1:11" ht="41.4">
      <c r="A34" s="4"/>
      <c r="B34" s="4" t="s">
        <v>74</v>
      </c>
      <c r="C34" s="4" t="s">
        <v>109</v>
      </c>
      <c r="D34" s="4" t="s">
        <v>110</v>
      </c>
      <c r="E34" s="4" t="s">
        <v>125</v>
      </c>
      <c r="F34" s="4" t="s">
        <v>111</v>
      </c>
      <c r="G34" s="4" t="s">
        <v>112</v>
      </c>
      <c r="H34" s="4"/>
      <c r="I34" s="4"/>
      <c r="J34" s="4"/>
      <c r="K34" s="4"/>
    </row>
    <row r="35" spans="1:11" ht="41.4">
      <c r="A35" s="4"/>
      <c r="B35" s="4" t="s">
        <v>74</v>
      </c>
      <c r="C35" s="4" t="s">
        <v>113</v>
      </c>
      <c r="D35" s="4" t="s">
        <v>79</v>
      </c>
      <c r="E35" s="4" t="s">
        <v>127</v>
      </c>
      <c r="F35" s="4" t="s">
        <v>114</v>
      </c>
      <c r="G35" s="4" t="s">
        <v>115</v>
      </c>
      <c r="H35" s="4"/>
      <c r="I35" s="4"/>
      <c r="J35" s="4"/>
      <c r="K35" s="4"/>
    </row>
    <row r="37" spans="1:11" ht="27.6">
      <c r="A37" s="4"/>
      <c r="B37" s="4" t="s">
        <v>128</v>
      </c>
      <c r="C37" s="4" t="s">
        <v>129</v>
      </c>
      <c r="D37" s="4" t="s">
        <v>130</v>
      </c>
      <c r="E37" s="4" t="s">
        <v>182</v>
      </c>
      <c r="F37" s="4" t="s">
        <v>131</v>
      </c>
      <c r="G37" s="4" t="s">
        <v>132</v>
      </c>
      <c r="H37" s="4"/>
      <c r="I37" s="4"/>
      <c r="J37" s="4"/>
      <c r="K37" s="4"/>
    </row>
    <row r="38" spans="1:11" ht="27.6">
      <c r="A38" s="4"/>
      <c r="B38" s="4" t="s">
        <v>128</v>
      </c>
      <c r="C38" s="4" t="s">
        <v>133</v>
      </c>
      <c r="D38" s="4" t="s">
        <v>134</v>
      </c>
      <c r="E38" s="4" t="s">
        <v>183</v>
      </c>
      <c r="F38" s="4"/>
      <c r="G38" s="4" t="s">
        <v>135</v>
      </c>
      <c r="H38" s="4"/>
      <c r="I38" s="4"/>
      <c r="J38" s="4"/>
      <c r="K38" s="4"/>
    </row>
    <row r="39" spans="1:11" ht="27.6">
      <c r="A39" s="4"/>
      <c r="B39" s="4" t="s">
        <v>136</v>
      </c>
      <c r="C39" s="4" t="s">
        <v>137</v>
      </c>
      <c r="D39" s="4" t="s">
        <v>138</v>
      </c>
      <c r="E39" s="4" t="s">
        <v>139</v>
      </c>
      <c r="F39" s="4"/>
      <c r="G39" s="4" t="s">
        <v>140</v>
      </c>
      <c r="H39" s="4"/>
      <c r="I39" s="4"/>
      <c r="J39" s="4"/>
      <c r="K39" s="4"/>
    </row>
    <row r="40" spans="1:11" ht="41.4">
      <c r="A40" s="4"/>
      <c r="B40" s="4" t="s">
        <v>136</v>
      </c>
      <c r="C40" s="4" t="s">
        <v>141</v>
      </c>
      <c r="D40" s="4" t="s">
        <v>142</v>
      </c>
      <c r="E40" s="4" t="s">
        <v>72</v>
      </c>
      <c r="F40" s="4"/>
      <c r="G40" s="4" t="s">
        <v>184</v>
      </c>
      <c r="H40" s="4"/>
      <c r="I40" s="4"/>
      <c r="J40" s="4"/>
      <c r="K40" s="4"/>
    </row>
    <row r="41" spans="1:11" ht="27.6">
      <c r="A41" s="4"/>
      <c r="B41" s="4" t="s">
        <v>136</v>
      </c>
      <c r="C41" s="4" t="s">
        <v>143</v>
      </c>
      <c r="D41" s="4" t="s">
        <v>144</v>
      </c>
      <c r="E41" s="4" t="s">
        <v>139</v>
      </c>
      <c r="F41" s="4" t="s">
        <v>145</v>
      </c>
      <c r="G41" s="4" t="s">
        <v>146</v>
      </c>
      <c r="H41" s="4"/>
      <c r="I41" s="4"/>
      <c r="J41" s="4"/>
      <c r="K41" s="4"/>
    </row>
    <row r="42" spans="1:11" ht="27.6">
      <c r="A42" s="4"/>
      <c r="B42" s="4" t="s">
        <v>136</v>
      </c>
      <c r="C42" s="4" t="s">
        <v>147</v>
      </c>
      <c r="D42" s="4" t="s">
        <v>148</v>
      </c>
      <c r="E42" s="4" t="s">
        <v>139</v>
      </c>
      <c r="F42" s="4" t="s">
        <v>149</v>
      </c>
      <c r="G42" s="4" t="s">
        <v>150</v>
      </c>
      <c r="H42" s="4"/>
      <c r="I42" s="4"/>
      <c r="J42" s="4"/>
      <c r="K42" s="4"/>
    </row>
    <row r="43" spans="1:11" ht="41.4">
      <c r="A43" s="4"/>
      <c r="B43" s="4" t="s">
        <v>136</v>
      </c>
      <c r="C43" s="4" t="s">
        <v>151</v>
      </c>
      <c r="D43" s="4" t="s">
        <v>152</v>
      </c>
      <c r="E43" s="4" t="s">
        <v>153</v>
      </c>
      <c r="F43" s="4"/>
      <c r="G43" s="4" t="s">
        <v>154</v>
      </c>
      <c r="H43" s="4"/>
      <c r="I43" s="4"/>
      <c r="J43" s="4"/>
      <c r="K43" s="4"/>
    </row>
    <row r="44" spans="1:11" ht="55.2">
      <c r="A44" s="4"/>
      <c r="B44" s="4" t="s">
        <v>136</v>
      </c>
      <c r="C44" s="4" t="s">
        <v>155</v>
      </c>
      <c r="D44" s="4" t="s">
        <v>156</v>
      </c>
      <c r="E44" s="4" t="s">
        <v>185</v>
      </c>
      <c r="F44" s="10" t="s">
        <v>157</v>
      </c>
      <c r="G44" s="4" t="s">
        <v>158</v>
      </c>
      <c r="H44" s="4"/>
      <c r="I44" s="4"/>
      <c r="J44" s="4"/>
      <c r="K44" s="4"/>
    </row>
    <row r="45" spans="1:11" ht="27.6">
      <c r="A45" s="4"/>
      <c r="B45" s="4" t="s">
        <v>136</v>
      </c>
      <c r="C45" s="4" t="s">
        <v>159</v>
      </c>
      <c r="D45" s="4" t="s">
        <v>160</v>
      </c>
      <c r="E45" s="4" t="s">
        <v>139</v>
      </c>
      <c r="F45" s="4"/>
      <c r="G45" s="4" t="s">
        <v>186</v>
      </c>
      <c r="H45" s="4"/>
      <c r="I45" s="4"/>
      <c r="J45" s="4"/>
      <c r="K45" s="4"/>
    </row>
    <row r="46" spans="1:11" ht="41.4">
      <c r="A46" s="4"/>
      <c r="B46" s="4" t="s">
        <v>136</v>
      </c>
      <c r="C46" s="4" t="s">
        <v>161</v>
      </c>
      <c r="D46" s="4" t="s">
        <v>162</v>
      </c>
      <c r="E46" s="4" t="s">
        <v>139</v>
      </c>
      <c r="F46" s="4"/>
      <c r="G46" s="4" t="s">
        <v>163</v>
      </c>
      <c r="H46" s="4"/>
      <c r="I46" s="4"/>
      <c r="J46" s="4"/>
      <c r="K46" s="4"/>
    </row>
    <row r="47" spans="1:11" ht="27.6">
      <c r="A47" s="4"/>
      <c r="B47" s="4" t="s">
        <v>136</v>
      </c>
      <c r="C47" s="4" t="s">
        <v>165</v>
      </c>
      <c r="D47" s="4" t="s">
        <v>166</v>
      </c>
      <c r="E47" s="4" t="s">
        <v>164</v>
      </c>
      <c r="F47" s="4" t="s">
        <v>167</v>
      </c>
      <c r="G47" s="4" t="s">
        <v>187</v>
      </c>
      <c r="H47" s="4"/>
      <c r="I47" s="4"/>
      <c r="J47" s="4"/>
      <c r="K47" s="4"/>
    </row>
    <row r="48" spans="1:11" ht="27.6">
      <c r="A48" s="4"/>
      <c r="B48" s="4" t="s">
        <v>128</v>
      </c>
      <c r="C48" s="4" t="s">
        <v>168</v>
      </c>
      <c r="D48" s="4" t="s">
        <v>169</v>
      </c>
      <c r="E48" s="4" t="s">
        <v>72</v>
      </c>
      <c r="F48" s="4" t="s">
        <v>111</v>
      </c>
      <c r="G48" s="4" t="s">
        <v>170</v>
      </c>
      <c r="H48" s="4"/>
      <c r="I48" s="4"/>
      <c r="J48" s="4"/>
      <c r="K48" s="4"/>
    </row>
    <row r="49" spans="1:11" ht="41.4">
      <c r="A49" s="4"/>
      <c r="B49" s="4" t="s">
        <v>128</v>
      </c>
      <c r="C49" s="4" t="s">
        <v>171</v>
      </c>
      <c r="D49" s="4" t="s">
        <v>172</v>
      </c>
      <c r="E49" s="4" t="s">
        <v>72</v>
      </c>
      <c r="F49" s="4" t="s">
        <v>173</v>
      </c>
      <c r="G49" s="4" t="s">
        <v>174</v>
      </c>
      <c r="H49" s="4"/>
      <c r="I49" s="4"/>
      <c r="J49" s="4"/>
      <c r="K49" s="4"/>
    </row>
    <row r="50" spans="1:11" ht="69">
      <c r="A50" s="4"/>
      <c r="B50" s="4" t="s">
        <v>128</v>
      </c>
      <c r="C50" s="4" t="s">
        <v>175</v>
      </c>
      <c r="D50" s="4" t="s">
        <v>130</v>
      </c>
      <c r="E50" s="4" t="s">
        <v>188</v>
      </c>
      <c r="F50" s="4" t="s">
        <v>189</v>
      </c>
      <c r="G50" s="4" t="s">
        <v>190</v>
      </c>
      <c r="H50" s="4"/>
      <c r="I50" s="4"/>
      <c r="J50" s="4"/>
      <c r="K50" s="4"/>
    </row>
    <row r="51" spans="1:11" ht="41.4">
      <c r="A51" s="4"/>
      <c r="B51" s="4" t="s">
        <v>128</v>
      </c>
      <c r="C51" s="4" t="s">
        <v>176</v>
      </c>
      <c r="D51" s="4" t="s">
        <v>177</v>
      </c>
      <c r="E51" s="4" t="s">
        <v>72</v>
      </c>
      <c r="F51" s="4"/>
      <c r="G51" s="4" t="s">
        <v>178</v>
      </c>
      <c r="H51" s="4"/>
      <c r="I51" s="4"/>
      <c r="J51" s="4"/>
      <c r="K51" s="4"/>
    </row>
    <row r="52" spans="1:11" ht="41.4">
      <c r="A52" s="4"/>
      <c r="B52" s="4" t="s">
        <v>128</v>
      </c>
      <c r="C52" s="4" t="s">
        <v>179</v>
      </c>
      <c r="D52" s="4" t="s">
        <v>180</v>
      </c>
      <c r="E52" s="4" t="s">
        <v>191</v>
      </c>
      <c r="F52" s="4" t="s">
        <v>181</v>
      </c>
      <c r="G52" s="4" t="s">
        <v>192</v>
      </c>
      <c r="H52" s="4"/>
      <c r="I52" s="4"/>
      <c r="J52" s="4"/>
      <c r="K52" s="4"/>
    </row>
    <row r="54" spans="1:11" ht="27.6">
      <c r="A54" s="4"/>
      <c r="B54" s="4" t="s">
        <v>193</v>
      </c>
      <c r="C54" s="4" t="s">
        <v>194</v>
      </c>
      <c r="D54" s="4" t="s">
        <v>195</v>
      </c>
      <c r="E54" s="4" t="s">
        <v>196</v>
      </c>
      <c r="F54" s="4"/>
      <c r="G54" s="4" t="s">
        <v>197</v>
      </c>
      <c r="H54" s="4"/>
      <c r="I54" s="4"/>
      <c r="J54" s="4"/>
      <c r="K54" s="4"/>
    </row>
    <row r="55" spans="1:11" ht="27.6">
      <c r="A55" s="4"/>
      <c r="B55" s="4" t="s">
        <v>193</v>
      </c>
      <c r="C55" s="4" t="s">
        <v>198</v>
      </c>
      <c r="D55" s="4" t="s">
        <v>199</v>
      </c>
      <c r="E55" s="4" t="s">
        <v>200</v>
      </c>
      <c r="F55" s="4"/>
      <c r="G55" s="4" t="s">
        <v>228</v>
      </c>
      <c r="H55" s="4"/>
      <c r="I55" s="4"/>
      <c r="J55" s="4"/>
      <c r="K55" s="4"/>
    </row>
    <row r="56" spans="1:11" ht="27.6">
      <c r="A56" s="4"/>
      <c r="B56" s="4" t="s">
        <v>193</v>
      </c>
      <c r="C56" s="4" t="s">
        <v>201</v>
      </c>
      <c r="D56" s="4" t="s">
        <v>202</v>
      </c>
      <c r="E56" s="4" t="s">
        <v>203</v>
      </c>
      <c r="F56" s="4"/>
      <c r="G56" s="4" t="s">
        <v>228</v>
      </c>
      <c r="H56" s="4"/>
      <c r="I56" s="4"/>
      <c r="J56" s="4"/>
      <c r="K56" s="4"/>
    </row>
    <row r="57" spans="1:11" ht="27.6">
      <c r="A57" s="4"/>
      <c r="B57" s="4" t="s">
        <v>193</v>
      </c>
      <c r="C57" s="4" t="s">
        <v>204</v>
      </c>
      <c r="D57" s="4" t="s">
        <v>205</v>
      </c>
      <c r="E57" s="4" t="s">
        <v>206</v>
      </c>
      <c r="F57" s="4"/>
      <c r="G57" s="4" t="s">
        <v>228</v>
      </c>
      <c r="H57" s="4"/>
      <c r="I57" s="4"/>
      <c r="J57" s="4"/>
      <c r="K57" s="4"/>
    </row>
    <row r="58" spans="1:11" ht="41.4">
      <c r="A58" s="4"/>
      <c r="B58" s="4" t="s">
        <v>193</v>
      </c>
      <c r="C58" s="4" t="s">
        <v>207</v>
      </c>
      <c r="D58" s="4" t="s">
        <v>208</v>
      </c>
      <c r="E58" s="4" t="s">
        <v>209</v>
      </c>
      <c r="F58" s="4"/>
      <c r="G58" s="4" t="s">
        <v>210</v>
      </c>
      <c r="H58" s="4"/>
      <c r="I58" s="4"/>
      <c r="J58" s="4"/>
      <c r="K58" s="4"/>
    </row>
    <row r="59" spans="1:11" ht="41.4">
      <c r="A59" s="4"/>
      <c r="B59" s="4" t="s">
        <v>193</v>
      </c>
      <c r="C59" s="4" t="s">
        <v>211</v>
      </c>
      <c r="D59" s="4" t="s">
        <v>212</v>
      </c>
      <c r="E59" s="4" t="s">
        <v>229</v>
      </c>
      <c r="F59" s="4"/>
      <c r="G59" s="4" t="s">
        <v>230</v>
      </c>
      <c r="H59" s="4"/>
      <c r="I59" s="4"/>
      <c r="J59" s="4"/>
      <c r="K59" s="4"/>
    </row>
    <row r="60" spans="1:11" ht="27.6">
      <c r="A60" s="4"/>
      <c r="B60" s="4" t="s">
        <v>193</v>
      </c>
      <c r="C60" s="4" t="s">
        <v>213</v>
      </c>
      <c r="D60" s="4" t="s">
        <v>214</v>
      </c>
      <c r="E60" s="4" t="s">
        <v>215</v>
      </c>
      <c r="F60" s="4" t="s">
        <v>111</v>
      </c>
      <c r="G60" s="4" t="s">
        <v>231</v>
      </c>
      <c r="H60" s="4"/>
      <c r="I60" s="4"/>
      <c r="J60" s="4"/>
      <c r="K60" s="4"/>
    </row>
    <row r="61" spans="1:11" ht="27.6">
      <c r="A61" s="4"/>
      <c r="B61" s="4" t="s">
        <v>193</v>
      </c>
      <c r="C61" s="4" t="s">
        <v>216</v>
      </c>
      <c r="D61" s="4" t="s">
        <v>217</v>
      </c>
      <c r="E61" s="4" t="s">
        <v>218</v>
      </c>
      <c r="F61" s="4" t="s">
        <v>108</v>
      </c>
      <c r="G61" s="4" t="s">
        <v>232</v>
      </c>
      <c r="H61" s="4"/>
      <c r="I61" s="4"/>
      <c r="J61" s="4"/>
      <c r="K61" s="4"/>
    </row>
    <row r="62" spans="1:11" ht="27.6">
      <c r="A62" s="4"/>
      <c r="B62" s="4" t="s">
        <v>193</v>
      </c>
      <c r="C62" s="4" t="s">
        <v>219</v>
      </c>
      <c r="D62" s="4" t="s">
        <v>220</v>
      </c>
      <c r="E62" s="4" t="s">
        <v>233</v>
      </c>
      <c r="F62" s="4" t="s">
        <v>221</v>
      </c>
      <c r="G62" s="4" t="s">
        <v>222</v>
      </c>
      <c r="H62" s="4"/>
      <c r="I62" s="4"/>
      <c r="J62" s="4"/>
      <c r="K62" s="4"/>
    </row>
    <row r="63" spans="1:11" ht="27.6">
      <c r="A63" s="4"/>
      <c r="B63" s="4" t="s">
        <v>193</v>
      </c>
      <c r="C63" s="4" t="s">
        <v>223</v>
      </c>
      <c r="D63" s="4" t="s">
        <v>224</v>
      </c>
      <c r="E63" s="4" t="s">
        <v>225</v>
      </c>
      <c r="F63" s="4" t="s">
        <v>226</v>
      </c>
      <c r="G63" s="4" t="s">
        <v>227</v>
      </c>
      <c r="H63" s="4"/>
      <c r="I63" s="4"/>
      <c r="J63" s="4"/>
      <c r="K63" s="4"/>
    </row>
    <row r="65" spans="1:11" ht="27.6">
      <c r="A65" s="4"/>
      <c r="B65" s="4" t="s">
        <v>234</v>
      </c>
      <c r="C65" s="4" t="s">
        <v>235</v>
      </c>
      <c r="D65" s="4" t="s">
        <v>236</v>
      </c>
      <c r="E65" s="4" t="s">
        <v>237</v>
      </c>
      <c r="F65" s="4"/>
      <c r="G65" s="4" t="s">
        <v>238</v>
      </c>
      <c r="H65" s="4"/>
      <c r="I65" s="4"/>
      <c r="J65" s="4"/>
      <c r="K65" s="4"/>
    </row>
    <row r="66" spans="1:11" ht="27.6">
      <c r="A66" s="4"/>
      <c r="B66" s="4" t="s">
        <v>234</v>
      </c>
      <c r="C66" s="4" t="s">
        <v>159</v>
      </c>
      <c r="D66" s="4" t="s">
        <v>160</v>
      </c>
      <c r="E66" s="4" t="s">
        <v>237</v>
      </c>
      <c r="F66" s="4"/>
      <c r="G66" s="4" t="s">
        <v>239</v>
      </c>
      <c r="H66" s="4"/>
      <c r="I66" s="4"/>
      <c r="J66" s="4"/>
      <c r="K66" s="4"/>
    </row>
    <row r="67" spans="1:11" ht="27.6">
      <c r="A67" s="4"/>
      <c r="B67" s="4" t="s">
        <v>234</v>
      </c>
      <c r="C67" s="4" t="s">
        <v>240</v>
      </c>
      <c r="D67" s="4" t="s">
        <v>144</v>
      </c>
      <c r="E67" s="4" t="s">
        <v>241</v>
      </c>
      <c r="F67" s="4" t="s">
        <v>242</v>
      </c>
      <c r="G67" s="4" t="s">
        <v>243</v>
      </c>
      <c r="H67" s="4"/>
      <c r="I67" s="4"/>
      <c r="J67" s="4"/>
      <c r="K67" s="4"/>
    </row>
    <row r="68" spans="1:11">
      <c r="A68" s="4"/>
      <c r="B68" s="4" t="s">
        <v>234</v>
      </c>
      <c r="C68" s="4" t="s">
        <v>246</v>
      </c>
      <c r="D68" s="4" t="s">
        <v>244</v>
      </c>
      <c r="E68" s="4" t="s">
        <v>245</v>
      </c>
      <c r="F68" s="4" t="s">
        <v>247</v>
      </c>
      <c r="G68" s="4" t="s">
        <v>253</v>
      </c>
      <c r="H68" s="4"/>
      <c r="I68" s="4"/>
      <c r="J68" s="4"/>
      <c r="K68" s="4"/>
    </row>
    <row r="69" spans="1:11" ht="27.6">
      <c r="A69" s="4"/>
      <c r="B69" s="4" t="s">
        <v>234</v>
      </c>
      <c r="C69" s="4" t="s">
        <v>248</v>
      </c>
      <c r="D69" s="4" t="s">
        <v>249</v>
      </c>
      <c r="E69" s="4" t="s">
        <v>250</v>
      </c>
      <c r="F69" s="4" t="s">
        <v>20</v>
      </c>
      <c r="G69" s="4" t="s">
        <v>254</v>
      </c>
      <c r="H69" s="4"/>
      <c r="I69" s="4"/>
      <c r="J69" s="4"/>
      <c r="K69" s="4"/>
    </row>
    <row r="70" spans="1:11" ht="27.6">
      <c r="A70" s="4"/>
      <c r="B70" s="4" t="s">
        <v>234</v>
      </c>
      <c r="C70" s="4" t="s">
        <v>251</v>
      </c>
      <c r="D70" s="4" t="s">
        <v>252</v>
      </c>
      <c r="E70" s="4" t="s">
        <v>250</v>
      </c>
      <c r="F70" s="4" t="s">
        <v>24</v>
      </c>
      <c r="G70" s="4" t="s">
        <v>254</v>
      </c>
      <c r="H70" s="4"/>
      <c r="I70" s="4"/>
      <c r="J70" s="4"/>
      <c r="K70" s="4"/>
    </row>
    <row r="72" spans="1:11" ht="27.6">
      <c r="A72" s="4"/>
      <c r="B72" s="4" t="s">
        <v>255</v>
      </c>
      <c r="C72" s="4" t="s">
        <v>256</v>
      </c>
      <c r="D72" s="4" t="s">
        <v>257</v>
      </c>
      <c r="E72" s="4" t="s">
        <v>258</v>
      </c>
      <c r="F72" s="4"/>
      <c r="G72" s="4" t="s">
        <v>259</v>
      </c>
      <c r="H72" s="4"/>
      <c r="I72" s="4"/>
      <c r="J72" s="4"/>
      <c r="K72" s="4"/>
    </row>
    <row r="73" spans="1:11" ht="55.2">
      <c r="A73" s="4"/>
      <c r="B73" s="4" t="s">
        <v>255</v>
      </c>
      <c r="C73" s="4" t="s">
        <v>260</v>
      </c>
      <c r="D73" s="4" t="s">
        <v>261</v>
      </c>
      <c r="E73" s="4" t="s">
        <v>262</v>
      </c>
      <c r="F73" s="4"/>
      <c r="G73" s="4" t="s">
        <v>263</v>
      </c>
      <c r="H73" s="4"/>
      <c r="I73" s="4"/>
      <c r="J73" s="4"/>
      <c r="K73" s="4"/>
    </row>
    <row r="74" spans="1:11" ht="41.4">
      <c r="A74" s="4"/>
      <c r="B74" s="4" t="s">
        <v>255</v>
      </c>
      <c r="C74" s="4" t="s">
        <v>264</v>
      </c>
      <c r="D74" s="4" t="s">
        <v>265</v>
      </c>
      <c r="E74" s="4" t="s">
        <v>266</v>
      </c>
      <c r="F74" s="4" t="s">
        <v>73</v>
      </c>
      <c r="G74" s="4" t="s">
        <v>267</v>
      </c>
      <c r="H74" s="4"/>
      <c r="I74" s="4"/>
      <c r="J74" s="4"/>
      <c r="K74" s="4"/>
    </row>
    <row r="75" spans="1:11" ht="41.4">
      <c r="A75" s="4"/>
      <c r="B75" s="4" t="s">
        <v>255</v>
      </c>
      <c r="C75" s="4" t="s">
        <v>268</v>
      </c>
      <c r="D75" s="4" t="s">
        <v>269</v>
      </c>
      <c r="E75" s="4" t="s">
        <v>270</v>
      </c>
      <c r="F75" s="4" t="s">
        <v>271</v>
      </c>
      <c r="G75" s="4" t="s">
        <v>272</v>
      </c>
      <c r="H75" s="4"/>
      <c r="I75" s="4"/>
      <c r="J75" s="4"/>
      <c r="K75" s="4"/>
    </row>
    <row r="76" spans="1:11" ht="27.6">
      <c r="A76" s="4"/>
      <c r="B76" s="4" t="s">
        <v>255</v>
      </c>
      <c r="C76" s="4" t="s">
        <v>273</v>
      </c>
      <c r="D76" s="4" t="s">
        <v>274</v>
      </c>
      <c r="E76" s="4" t="s">
        <v>237</v>
      </c>
      <c r="F76" s="4" t="s">
        <v>275</v>
      </c>
      <c r="G76" s="4" t="s">
        <v>276</v>
      </c>
      <c r="H76" s="4"/>
      <c r="I76" s="4"/>
      <c r="J76" s="4"/>
      <c r="K76" s="4"/>
    </row>
    <row r="78" spans="1:11" ht="55.2">
      <c r="A78" s="4"/>
      <c r="B78" s="4" t="s">
        <v>277</v>
      </c>
      <c r="C78" s="4" t="s">
        <v>279</v>
      </c>
      <c r="D78" s="4" t="s">
        <v>244</v>
      </c>
      <c r="E78" s="4" t="s">
        <v>278</v>
      </c>
      <c r="F78" s="4" t="s">
        <v>280</v>
      </c>
      <c r="G78" s="4" t="s">
        <v>281</v>
      </c>
      <c r="H78" s="4"/>
      <c r="I78" s="4"/>
      <c r="J78" s="4"/>
      <c r="K78" s="4"/>
    </row>
    <row r="79" spans="1:11" ht="27.6">
      <c r="A79" s="4"/>
      <c r="B79" s="4" t="s">
        <v>277</v>
      </c>
      <c r="C79" s="4" t="s">
        <v>282</v>
      </c>
      <c r="D79" s="4" t="s">
        <v>283</v>
      </c>
      <c r="E79" s="4" t="s">
        <v>284</v>
      </c>
      <c r="F79" s="4" t="s">
        <v>30</v>
      </c>
      <c r="G79" s="4" t="s">
        <v>285</v>
      </c>
      <c r="H79" s="4"/>
      <c r="I79" s="4"/>
      <c r="J79" s="4"/>
      <c r="K79" s="4"/>
    </row>
  </sheetData>
  <mergeCells count="5">
    <mergeCell ref="A1:E3"/>
    <mergeCell ref="A4:C4"/>
    <mergeCell ref="A5:C5"/>
    <mergeCell ref="A6:C6"/>
    <mergeCell ref="A7:C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9CF20-2B00-499A-9FC4-C5A22BC0CFC1}">
  <dimension ref="A1:L61"/>
  <sheetViews>
    <sheetView topLeftCell="A34" workbookViewId="0">
      <selection activeCell="H27" sqref="H27"/>
    </sheetView>
  </sheetViews>
  <sheetFormatPr defaultRowHeight="13.8"/>
  <cols>
    <col min="1" max="1" width="13.59765625" customWidth="1"/>
    <col min="2" max="2" width="18.796875" customWidth="1"/>
    <col min="3" max="3" width="21.796875" customWidth="1"/>
    <col min="4" max="4" width="18.59765625" customWidth="1"/>
    <col min="5" max="5" width="39.8984375" customWidth="1"/>
    <col min="6" max="6" width="15.59765625" customWidth="1"/>
    <col min="7" max="7" width="30.296875" customWidth="1"/>
    <col min="8" max="8" width="13.59765625" customWidth="1"/>
    <col min="11" max="11" width="23.09765625" customWidth="1"/>
  </cols>
  <sheetData>
    <row r="1" spans="1:11">
      <c r="A1" s="11" t="s">
        <v>0</v>
      </c>
      <c r="B1" s="12"/>
      <c r="C1" s="12"/>
      <c r="D1" s="12"/>
      <c r="E1" s="13"/>
      <c r="F1" s="1"/>
      <c r="G1" s="1"/>
      <c r="H1" s="1"/>
      <c r="I1" s="1"/>
      <c r="J1" s="1"/>
      <c r="K1" s="1"/>
    </row>
    <row r="2" spans="1:11">
      <c r="A2" s="14"/>
      <c r="B2" s="15"/>
      <c r="C2" s="15"/>
      <c r="D2" s="15"/>
      <c r="E2" s="16"/>
      <c r="F2" s="1"/>
      <c r="G2" s="1"/>
      <c r="H2" s="1"/>
      <c r="I2" s="1"/>
      <c r="J2" s="1"/>
      <c r="K2" s="1"/>
    </row>
    <row r="3" spans="1:11">
      <c r="A3" s="17"/>
      <c r="B3" s="18"/>
      <c r="C3" s="18"/>
      <c r="D3" s="18"/>
      <c r="E3" s="19"/>
      <c r="F3" s="1"/>
      <c r="G3" s="1"/>
      <c r="H3" s="1"/>
      <c r="I3" s="1"/>
      <c r="J3" s="1"/>
      <c r="K3" s="1"/>
    </row>
    <row r="4" spans="1:11">
      <c r="A4" s="20" t="s">
        <v>1</v>
      </c>
      <c r="B4" s="21"/>
      <c r="C4" s="22"/>
      <c r="D4" s="2" t="s">
        <v>2</v>
      </c>
      <c r="E4" s="3">
        <f>COUNTIF(H10:H312,"PASS")</f>
        <v>0</v>
      </c>
      <c r="F4" s="4"/>
      <c r="G4" s="4"/>
      <c r="H4" s="4"/>
      <c r="I4" s="4"/>
      <c r="J4" s="4"/>
      <c r="K4" s="4"/>
    </row>
    <row r="5" spans="1:11">
      <c r="A5" s="20" t="s">
        <v>3</v>
      </c>
      <c r="B5" s="21"/>
      <c r="C5" s="22"/>
      <c r="D5" s="2"/>
      <c r="E5" s="3">
        <f>COUNTIF(H10:H312,"FAIL")</f>
        <v>0</v>
      </c>
      <c r="F5" s="4"/>
      <c r="G5" s="4"/>
      <c r="H5" s="4"/>
      <c r="I5" s="4"/>
      <c r="J5" s="4"/>
      <c r="K5" s="4"/>
    </row>
    <row r="6" spans="1:11">
      <c r="A6" s="20" t="s">
        <v>4</v>
      </c>
      <c r="B6" s="21"/>
      <c r="C6" s="22"/>
      <c r="D6" s="2"/>
      <c r="E6" s="3">
        <f>COUNTIF(H10:H312,"Pending")</f>
        <v>0</v>
      </c>
      <c r="G6" s="4"/>
      <c r="H6" s="4"/>
      <c r="I6" s="4"/>
      <c r="J6" s="4"/>
      <c r="K6" s="4"/>
    </row>
    <row r="7" spans="1:11">
      <c r="A7" s="20" t="s">
        <v>5</v>
      </c>
      <c r="B7" s="21"/>
      <c r="C7" s="22"/>
      <c r="D7" s="2"/>
      <c r="E7" s="3">
        <f>COUNTA(H10:H312)</f>
        <v>0</v>
      </c>
      <c r="F7" s="4"/>
      <c r="G7" s="4"/>
      <c r="H7" s="4"/>
      <c r="I7" s="4"/>
      <c r="J7" s="4"/>
      <c r="K7" s="4"/>
    </row>
    <row r="8" spans="1:11">
      <c r="A8" s="5"/>
      <c r="B8" s="6"/>
      <c r="C8" s="6"/>
      <c r="D8" s="6"/>
      <c r="E8" s="6"/>
      <c r="F8" s="7"/>
      <c r="G8" s="7"/>
      <c r="H8" s="7"/>
      <c r="I8" s="7"/>
      <c r="J8" s="7"/>
      <c r="K8" s="7"/>
    </row>
    <row r="9" spans="1:11" ht="37.799999999999997">
      <c r="A9" s="8" t="s">
        <v>6</v>
      </c>
      <c r="B9" s="8" t="s">
        <v>7</v>
      </c>
      <c r="C9" s="8" t="s">
        <v>8</v>
      </c>
      <c r="D9" s="8" t="s">
        <v>9</v>
      </c>
      <c r="E9" s="8" t="s">
        <v>10</v>
      </c>
      <c r="F9" s="8" t="s">
        <v>11</v>
      </c>
      <c r="G9" s="8" t="s">
        <v>12</v>
      </c>
      <c r="H9" s="8" t="s">
        <v>13</v>
      </c>
      <c r="I9" s="8" t="s">
        <v>14</v>
      </c>
      <c r="J9" s="8" t="s">
        <v>15</v>
      </c>
      <c r="K9" s="9" t="s">
        <v>16</v>
      </c>
    </row>
    <row r="10" spans="1:11" ht="27.6">
      <c r="A10" s="4"/>
      <c r="B10" s="4" t="s">
        <v>286</v>
      </c>
      <c r="C10" s="4" t="s">
        <v>287</v>
      </c>
      <c r="D10" s="4" t="s">
        <v>23</v>
      </c>
      <c r="E10" s="4" t="s">
        <v>301</v>
      </c>
      <c r="F10" s="4" t="s">
        <v>24</v>
      </c>
      <c r="G10" s="4" t="s">
        <v>304</v>
      </c>
      <c r="H10" s="4"/>
      <c r="I10" s="4"/>
      <c r="J10" s="4"/>
      <c r="K10" s="4"/>
    </row>
    <row r="11" spans="1:11" ht="27.6">
      <c r="A11" s="4"/>
      <c r="B11" s="4" t="s">
        <v>286</v>
      </c>
      <c r="C11" s="4" t="s">
        <v>288</v>
      </c>
      <c r="D11" s="4" t="s">
        <v>19</v>
      </c>
      <c r="E11" s="4" t="s">
        <v>302</v>
      </c>
      <c r="F11" s="4" t="s">
        <v>20</v>
      </c>
      <c r="G11" s="4" t="s">
        <v>303</v>
      </c>
      <c r="H11" s="4"/>
      <c r="I11" s="4"/>
      <c r="J11" s="4"/>
      <c r="K11" s="4"/>
    </row>
    <row r="12" spans="1:11" ht="27.6">
      <c r="A12" s="4"/>
      <c r="B12" s="4" t="s">
        <v>26</v>
      </c>
      <c r="C12" s="4" t="s">
        <v>289</v>
      </c>
      <c r="D12" s="4" t="s">
        <v>290</v>
      </c>
      <c r="E12" s="4" t="s">
        <v>29</v>
      </c>
      <c r="F12" s="4" t="s">
        <v>30</v>
      </c>
      <c r="G12" s="4" t="s">
        <v>291</v>
      </c>
      <c r="H12" s="4"/>
      <c r="I12" s="4"/>
      <c r="J12" s="4"/>
      <c r="K12" s="4"/>
    </row>
    <row r="13" spans="1:11" ht="41.4">
      <c r="A13" s="4"/>
      <c r="B13" s="4" t="s">
        <v>26</v>
      </c>
      <c r="C13" s="4" t="s">
        <v>292</v>
      </c>
      <c r="D13" s="4" t="s">
        <v>290</v>
      </c>
      <c r="E13" s="4" t="s">
        <v>29</v>
      </c>
      <c r="F13" s="4" t="s">
        <v>30</v>
      </c>
      <c r="G13" s="4" t="s">
        <v>293</v>
      </c>
      <c r="H13" s="4"/>
      <c r="I13" s="4"/>
      <c r="J13" s="4"/>
      <c r="K13" s="4"/>
    </row>
    <row r="14" spans="1:11" ht="27.6">
      <c r="A14" s="4"/>
      <c r="B14" s="4" t="s">
        <v>26</v>
      </c>
      <c r="C14" s="4" t="s">
        <v>294</v>
      </c>
      <c r="D14" s="4" t="s">
        <v>290</v>
      </c>
      <c r="E14" s="4" t="s">
        <v>295</v>
      </c>
      <c r="F14" s="4" t="s">
        <v>30</v>
      </c>
      <c r="G14" s="4" t="s">
        <v>296</v>
      </c>
      <c r="H14" s="4"/>
      <c r="I14" s="4"/>
      <c r="J14" s="4"/>
      <c r="K14" s="4"/>
    </row>
    <row r="15" spans="1:11" ht="27.6">
      <c r="A15" s="4"/>
      <c r="B15" s="4" t="s">
        <v>66</v>
      </c>
      <c r="C15" s="4" t="s">
        <v>297</v>
      </c>
      <c r="D15" s="4" t="s">
        <v>290</v>
      </c>
      <c r="E15" s="4" t="s">
        <v>298</v>
      </c>
      <c r="F15" s="4" t="s">
        <v>30</v>
      </c>
      <c r="G15" s="4" t="s">
        <v>299</v>
      </c>
      <c r="H15" s="4"/>
      <c r="I15" s="4"/>
      <c r="J15" s="4"/>
      <c r="K15" s="4"/>
    </row>
    <row r="16" spans="1:11" ht="27.6">
      <c r="A16" s="4"/>
      <c r="B16" s="4" t="s">
        <v>66</v>
      </c>
      <c r="C16" s="4" t="s">
        <v>70</v>
      </c>
      <c r="D16" s="4" t="s">
        <v>71</v>
      </c>
      <c r="E16" s="4" t="s">
        <v>300</v>
      </c>
      <c r="F16" s="4" t="s">
        <v>73</v>
      </c>
      <c r="G16" s="4" t="s">
        <v>305</v>
      </c>
      <c r="H16" s="4"/>
      <c r="I16" s="4"/>
      <c r="J16" s="4"/>
      <c r="K16" s="4"/>
    </row>
    <row r="18" spans="1:12" ht="27.6">
      <c r="A18" s="4"/>
      <c r="B18" s="4" t="s">
        <v>306</v>
      </c>
      <c r="C18" s="4" t="s">
        <v>307</v>
      </c>
      <c r="D18" s="4" t="s">
        <v>308</v>
      </c>
      <c r="E18" s="4" t="s">
        <v>351</v>
      </c>
      <c r="F18" s="4" t="s">
        <v>309</v>
      </c>
      <c r="G18" s="4" t="s">
        <v>310</v>
      </c>
      <c r="H18" s="4"/>
      <c r="I18" s="4"/>
      <c r="J18" s="4"/>
      <c r="K18" s="4"/>
      <c r="L18" s="4"/>
    </row>
    <row r="19" spans="1:12" ht="27.6">
      <c r="A19" s="4"/>
      <c r="B19" s="4" t="s">
        <v>306</v>
      </c>
      <c r="C19" s="4" t="s">
        <v>311</v>
      </c>
      <c r="D19" s="4" t="s">
        <v>312</v>
      </c>
      <c r="E19" s="4" t="s">
        <v>313</v>
      </c>
      <c r="F19" s="4"/>
      <c r="G19" s="4" t="s">
        <v>314</v>
      </c>
      <c r="H19" s="4"/>
      <c r="I19" s="4"/>
      <c r="J19" s="4"/>
      <c r="K19" s="4"/>
      <c r="L19" s="4"/>
    </row>
    <row r="20" spans="1:12" ht="27.6">
      <c r="A20" s="4"/>
      <c r="B20" s="4" t="s">
        <v>306</v>
      </c>
      <c r="C20" s="4" t="s">
        <v>315</v>
      </c>
      <c r="D20" s="4" t="s">
        <v>316</v>
      </c>
      <c r="E20" s="4" t="s">
        <v>300</v>
      </c>
      <c r="F20" s="4"/>
      <c r="G20" s="4" t="s">
        <v>352</v>
      </c>
      <c r="H20" s="4"/>
      <c r="I20" s="4"/>
      <c r="J20" s="4"/>
      <c r="K20" s="4"/>
      <c r="L20" s="4"/>
    </row>
    <row r="21" spans="1:12" ht="27.6">
      <c r="A21" s="4"/>
      <c r="B21" s="4" t="s">
        <v>306</v>
      </c>
      <c r="C21" s="4" t="s">
        <v>317</v>
      </c>
      <c r="D21" s="4" t="s">
        <v>318</v>
      </c>
      <c r="E21" s="4" t="s">
        <v>319</v>
      </c>
      <c r="F21" s="4"/>
      <c r="G21" s="4" t="s">
        <v>354</v>
      </c>
      <c r="H21" s="4"/>
      <c r="I21" s="4"/>
      <c r="J21" s="4"/>
      <c r="K21" s="4"/>
      <c r="L21" s="4"/>
    </row>
    <row r="22" spans="1:12" ht="27.6">
      <c r="A22" s="4"/>
      <c r="B22" s="4" t="s">
        <v>306</v>
      </c>
      <c r="C22" s="4" t="s">
        <v>320</v>
      </c>
      <c r="D22" s="4" t="s">
        <v>321</v>
      </c>
      <c r="E22" s="4" t="s">
        <v>353</v>
      </c>
      <c r="F22" s="4"/>
      <c r="G22" s="4" t="s">
        <v>322</v>
      </c>
      <c r="H22" s="4"/>
      <c r="I22" s="4"/>
      <c r="J22" s="4"/>
      <c r="K22" s="4"/>
      <c r="L22" s="4"/>
    </row>
    <row r="23" spans="1:12" ht="27.6">
      <c r="A23" s="4"/>
      <c r="B23" s="4" t="s">
        <v>306</v>
      </c>
      <c r="C23" s="4" t="s">
        <v>323</v>
      </c>
      <c r="D23" s="4" t="s">
        <v>321</v>
      </c>
      <c r="E23" s="4" t="s">
        <v>324</v>
      </c>
      <c r="F23" s="4"/>
      <c r="G23" s="4" t="s">
        <v>325</v>
      </c>
      <c r="H23" s="4"/>
      <c r="I23" s="4"/>
      <c r="J23" s="4"/>
      <c r="K23" s="4"/>
      <c r="L23" s="4"/>
    </row>
    <row r="24" spans="1:12">
      <c r="A24" s="4"/>
      <c r="B24" s="4" t="s">
        <v>306</v>
      </c>
      <c r="C24" s="4" t="s">
        <v>326</v>
      </c>
      <c r="D24" s="4" t="s">
        <v>327</v>
      </c>
      <c r="E24" s="4" t="s">
        <v>328</v>
      </c>
      <c r="F24" s="4"/>
      <c r="G24" s="4" t="s">
        <v>329</v>
      </c>
      <c r="H24" s="4"/>
      <c r="I24" s="4"/>
      <c r="J24" s="4"/>
      <c r="K24" s="4"/>
      <c r="L24" s="4"/>
    </row>
    <row r="25" spans="1:12" ht="27.6">
      <c r="A25" s="4"/>
      <c r="B25" s="4" t="s">
        <v>306</v>
      </c>
      <c r="C25" s="4" t="s">
        <v>330</v>
      </c>
      <c r="D25" s="4" t="s">
        <v>331</v>
      </c>
      <c r="E25" s="4" t="s">
        <v>332</v>
      </c>
      <c r="F25" s="4"/>
      <c r="G25" s="4" t="s">
        <v>333</v>
      </c>
      <c r="H25" s="4"/>
      <c r="I25" s="4"/>
      <c r="J25" s="4"/>
      <c r="K25" s="4"/>
      <c r="L25" s="4"/>
    </row>
    <row r="26" spans="1:12" ht="27.6">
      <c r="A26" s="4"/>
      <c r="B26" s="4" t="s">
        <v>306</v>
      </c>
      <c r="C26" s="4" t="s">
        <v>334</v>
      </c>
      <c r="D26" s="4" t="s">
        <v>331</v>
      </c>
      <c r="E26" s="4" t="s">
        <v>335</v>
      </c>
      <c r="F26" s="4"/>
      <c r="G26" s="4" t="s">
        <v>336</v>
      </c>
      <c r="H26" s="4"/>
      <c r="I26" s="4"/>
      <c r="J26" s="4"/>
      <c r="K26" s="4"/>
      <c r="L26" s="4"/>
    </row>
    <row r="27" spans="1:12" ht="27.6">
      <c r="A27" s="4"/>
      <c r="B27" s="4" t="s">
        <v>306</v>
      </c>
      <c r="C27" s="4" t="s">
        <v>337</v>
      </c>
      <c r="D27" s="4" t="s">
        <v>338</v>
      </c>
      <c r="E27" s="4" t="s">
        <v>339</v>
      </c>
      <c r="F27" s="4"/>
      <c r="G27" s="4" t="s">
        <v>340</v>
      </c>
      <c r="H27" s="4"/>
      <c r="I27" s="4"/>
      <c r="J27" s="4"/>
      <c r="K27" s="4"/>
      <c r="L27" s="4"/>
    </row>
    <row r="28" spans="1:12">
      <c r="A28" s="4"/>
      <c r="B28" s="4" t="s">
        <v>306</v>
      </c>
      <c r="C28" s="4" t="s">
        <v>341</v>
      </c>
      <c r="D28" s="4" t="s">
        <v>331</v>
      </c>
      <c r="E28" s="4" t="s">
        <v>342</v>
      </c>
      <c r="F28" s="4"/>
      <c r="G28" s="4" t="s">
        <v>343</v>
      </c>
      <c r="H28" s="4"/>
      <c r="I28" s="4"/>
      <c r="J28" s="4"/>
      <c r="K28" s="4"/>
      <c r="L28" s="4"/>
    </row>
    <row r="29" spans="1:12" ht="27.6">
      <c r="A29" s="4"/>
      <c r="B29" s="4" t="s">
        <v>306</v>
      </c>
      <c r="C29" s="4" t="s">
        <v>344</v>
      </c>
      <c r="D29" s="4" t="s">
        <v>331</v>
      </c>
      <c r="E29" s="4" t="s">
        <v>345</v>
      </c>
      <c r="F29" s="4"/>
      <c r="G29" s="4" t="s">
        <v>346</v>
      </c>
      <c r="H29" s="4"/>
      <c r="I29" s="4"/>
      <c r="J29" s="4"/>
      <c r="K29" s="4"/>
      <c r="L29" s="4"/>
    </row>
    <row r="30" spans="1:12" ht="41.4">
      <c r="A30" s="4"/>
      <c r="B30" s="4" t="s">
        <v>306</v>
      </c>
      <c r="C30" s="4" t="s">
        <v>347</v>
      </c>
      <c r="D30" s="4" t="s">
        <v>348</v>
      </c>
      <c r="E30" s="4" t="s">
        <v>349</v>
      </c>
      <c r="F30" s="4"/>
      <c r="G30" s="4" t="s">
        <v>350</v>
      </c>
      <c r="H30" s="4"/>
      <c r="I30" s="4"/>
      <c r="J30" s="4"/>
      <c r="K30" s="4"/>
    </row>
    <row r="32" spans="1:12" ht="27.6">
      <c r="A32" s="4"/>
      <c r="B32" s="4" t="s">
        <v>355</v>
      </c>
      <c r="C32" s="4" t="s">
        <v>356</v>
      </c>
      <c r="D32" s="4" t="s">
        <v>357</v>
      </c>
      <c r="E32" s="4" t="s">
        <v>358</v>
      </c>
      <c r="F32" s="4"/>
      <c r="G32" s="4" t="s">
        <v>359</v>
      </c>
      <c r="H32" s="4"/>
      <c r="I32" s="4"/>
      <c r="J32" s="4"/>
      <c r="K32" s="4"/>
    </row>
    <row r="33" spans="1:11" ht="41.4">
      <c r="A33" s="4"/>
      <c r="B33" s="4" t="s">
        <v>355</v>
      </c>
      <c r="C33" s="4" t="s">
        <v>360</v>
      </c>
      <c r="D33" s="4" t="s">
        <v>361</v>
      </c>
      <c r="E33" s="4" t="s">
        <v>390</v>
      </c>
      <c r="F33" s="4"/>
      <c r="G33" s="4" t="s">
        <v>362</v>
      </c>
      <c r="H33" s="4"/>
      <c r="I33" s="4"/>
      <c r="J33" s="4"/>
      <c r="K33" s="4"/>
    </row>
    <row r="34" spans="1:11" ht="27.6">
      <c r="A34" s="4"/>
      <c r="B34" s="4" t="s">
        <v>355</v>
      </c>
      <c r="C34" s="4" t="s">
        <v>363</v>
      </c>
      <c r="D34" s="4" t="s">
        <v>364</v>
      </c>
      <c r="E34" s="4" t="s">
        <v>365</v>
      </c>
      <c r="F34" s="4"/>
      <c r="G34" s="4" t="s">
        <v>366</v>
      </c>
      <c r="H34" s="4"/>
      <c r="I34" s="4"/>
      <c r="J34" s="4"/>
      <c r="K34" s="4"/>
    </row>
    <row r="35" spans="1:11" ht="27.6">
      <c r="A35" s="4"/>
      <c r="B35" s="4" t="s">
        <v>355</v>
      </c>
      <c r="C35" s="4" t="s">
        <v>367</v>
      </c>
      <c r="D35" s="4" t="s">
        <v>368</v>
      </c>
      <c r="E35" s="4" t="s">
        <v>369</v>
      </c>
      <c r="F35" s="4"/>
      <c r="G35" s="4" t="s">
        <v>370</v>
      </c>
      <c r="H35" s="4"/>
      <c r="I35" s="4"/>
      <c r="J35" s="4"/>
      <c r="K35" s="4"/>
    </row>
    <row r="36" spans="1:11" ht="27.6">
      <c r="A36" s="4"/>
      <c r="B36" s="4" t="s">
        <v>355</v>
      </c>
      <c r="C36" s="4" t="s">
        <v>371</v>
      </c>
      <c r="D36" s="4" t="s">
        <v>372</v>
      </c>
      <c r="E36" s="4" t="s">
        <v>365</v>
      </c>
      <c r="F36" s="4"/>
      <c r="G36" s="4" t="s">
        <v>373</v>
      </c>
      <c r="H36" s="4"/>
      <c r="I36" s="4"/>
      <c r="J36" s="4"/>
      <c r="K36" s="4"/>
    </row>
    <row r="37" spans="1:11" ht="27.6">
      <c r="A37" s="4"/>
      <c r="B37" s="4" t="s">
        <v>355</v>
      </c>
      <c r="C37" s="4" t="s">
        <v>374</v>
      </c>
      <c r="D37" s="4" t="s">
        <v>375</v>
      </c>
      <c r="E37" s="4" t="s">
        <v>365</v>
      </c>
      <c r="F37" s="4"/>
      <c r="G37" s="4" t="s">
        <v>376</v>
      </c>
      <c r="H37" s="4"/>
      <c r="I37" s="4"/>
      <c r="J37" s="4"/>
      <c r="K37" s="4"/>
    </row>
    <row r="38" spans="1:11" ht="27.6">
      <c r="A38" s="4"/>
      <c r="B38" s="4" t="s">
        <v>355</v>
      </c>
      <c r="C38" s="4" t="s">
        <v>377</v>
      </c>
      <c r="D38" s="4" t="s">
        <v>378</v>
      </c>
      <c r="E38" s="4" t="s">
        <v>379</v>
      </c>
      <c r="F38" s="4"/>
      <c r="G38" s="4" t="s">
        <v>380</v>
      </c>
      <c r="H38" s="4"/>
      <c r="I38" s="4"/>
      <c r="J38" s="4"/>
      <c r="K38" s="4"/>
    </row>
    <row r="39" spans="1:11" ht="27.6">
      <c r="A39" s="4"/>
      <c r="B39" s="4" t="s">
        <v>355</v>
      </c>
      <c r="C39" s="4" t="s">
        <v>159</v>
      </c>
      <c r="D39" s="4" t="s">
        <v>381</v>
      </c>
      <c r="E39" s="4" t="s">
        <v>365</v>
      </c>
      <c r="F39" s="4"/>
      <c r="G39" s="4" t="s">
        <v>382</v>
      </c>
      <c r="H39" s="4"/>
      <c r="I39" s="4"/>
      <c r="J39" s="4"/>
      <c r="K39" s="4"/>
    </row>
    <row r="40" spans="1:11" ht="27.6">
      <c r="A40" s="4"/>
      <c r="B40" s="4" t="s">
        <v>355</v>
      </c>
      <c r="C40" s="4" t="s">
        <v>161</v>
      </c>
      <c r="D40" s="4" t="s">
        <v>383</v>
      </c>
      <c r="E40" s="4" t="s">
        <v>365</v>
      </c>
      <c r="F40" s="4"/>
      <c r="G40" s="4" t="s">
        <v>384</v>
      </c>
      <c r="H40" s="4"/>
      <c r="I40" s="4"/>
      <c r="J40" s="4"/>
      <c r="K40" s="4"/>
    </row>
    <row r="41" spans="1:11" ht="27.6">
      <c r="A41" s="4"/>
      <c r="B41" s="4" t="s">
        <v>355</v>
      </c>
      <c r="C41" s="4" t="s">
        <v>385</v>
      </c>
      <c r="D41" s="4" t="s">
        <v>386</v>
      </c>
      <c r="E41" s="4" t="s">
        <v>369</v>
      </c>
      <c r="F41" s="4"/>
      <c r="G41" s="4" t="s">
        <v>392</v>
      </c>
      <c r="H41" s="4"/>
      <c r="I41" s="4"/>
      <c r="J41" s="4"/>
      <c r="K41" s="4"/>
    </row>
    <row r="42" spans="1:11" ht="27.6">
      <c r="A42" s="4"/>
      <c r="B42" s="4" t="s">
        <v>355</v>
      </c>
      <c r="C42" s="4" t="s">
        <v>387</v>
      </c>
      <c r="D42" s="4" t="s">
        <v>172</v>
      </c>
      <c r="E42" s="4" t="s">
        <v>300</v>
      </c>
      <c r="F42" s="4"/>
      <c r="G42" s="4" t="s">
        <v>393</v>
      </c>
      <c r="H42" s="4"/>
      <c r="I42" s="4"/>
      <c r="J42" s="4"/>
      <c r="K42" s="4"/>
    </row>
    <row r="43" spans="1:11" ht="27.6">
      <c r="A43" s="4"/>
      <c r="B43" s="4" t="s">
        <v>355</v>
      </c>
      <c r="C43" s="4" t="s">
        <v>388</v>
      </c>
      <c r="D43" s="4" t="s">
        <v>389</v>
      </c>
      <c r="E43" s="4" t="s">
        <v>391</v>
      </c>
      <c r="F43" s="4" t="s">
        <v>111</v>
      </c>
      <c r="G43" s="4" t="s">
        <v>394</v>
      </c>
      <c r="H43" s="4"/>
      <c r="I43" s="4"/>
      <c r="J43" s="4"/>
      <c r="K43" s="4"/>
    </row>
    <row r="45" spans="1:11" ht="41.4">
      <c r="A45" s="4"/>
      <c r="B45" s="4" t="s">
        <v>395</v>
      </c>
      <c r="C45" s="4" t="s">
        <v>396</v>
      </c>
      <c r="D45" s="4" t="s">
        <v>397</v>
      </c>
      <c r="E45" s="4" t="s">
        <v>398</v>
      </c>
      <c r="F45" s="4"/>
      <c r="G45" s="4" t="s">
        <v>399</v>
      </c>
      <c r="H45" s="4"/>
      <c r="I45" s="4"/>
      <c r="J45" s="4"/>
      <c r="K45" s="4"/>
    </row>
    <row r="46" spans="1:11" ht="27.6">
      <c r="A46" s="4"/>
      <c r="B46" s="4" t="s">
        <v>395</v>
      </c>
      <c r="C46" s="4" t="s">
        <v>400</v>
      </c>
      <c r="D46" s="4" t="s">
        <v>401</v>
      </c>
      <c r="E46" s="4" t="s">
        <v>428</v>
      </c>
      <c r="F46" s="4"/>
      <c r="G46" s="4" t="s">
        <v>402</v>
      </c>
      <c r="H46" s="4"/>
      <c r="I46" s="4"/>
      <c r="J46" s="4"/>
      <c r="K46" s="4"/>
    </row>
    <row r="47" spans="1:11" ht="27.6">
      <c r="A47" s="4"/>
      <c r="B47" s="4" t="s">
        <v>395</v>
      </c>
      <c r="C47" s="4" t="s">
        <v>403</v>
      </c>
      <c r="D47" s="4" t="s">
        <v>23</v>
      </c>
      <c r="E47" s="4" t="s">
        <v>404</v>
      </c>
      <c r="F47" s="4"/>
      <c r="G47" s="4" t="s">
        <v>405</v>
      </c>
      <c r="H47" s="4"/>
      <c r="I47" s="4"/>
      <c r="J47" s="4"/>
      <c r="K47" s="4"/>
    </row>
    <row r="48" spans="1:11" ht="27.6">
      <c r="A48" s="4"/>
      <c r="B48" s="4" t="s">
        <v>395</v>
      </c>
      <c r="C48" s="4" t="s">
        <v>406</v>
      </c>
      <c r="D48" s="4" t="s">
        <v>19</v>
      </c>
      <c r="E48" s="4" t="s">
        <v>429</v>
      </c>
      <c r="F48" s="4"/>
      <c r="G48" s="4" t="s">
        <v>407</v>
      </c>
      <c r="H48" s="4"/>
      <c r="I48" s="4"/>
      <c r="J48" s="4"/>
      <c r="K48" s="4"/>
    </row>
    <row r="49" spans="1:11" ht="41.4">
      <c r="A49" s="4"/>
      <c r="B49" s="4" t="s">
        <v>395</v>
      </c>
      <c r="C49" s="4" t="s">
        <v>408</v>
      </c>
      <c r="D49" s="4" t="s">
        <v>19</v>
      </c>
      <c r="E49" s="4" t="s">
        <v>430</v>
      </c>
      <c r="F49" s="4"/>
      <c r="G49" s="4" t="s">
        <v>431</v>
      </c>
      <c r="H49" s="4"/>
      <c r="I49" s="4"/>
      <c r="J49" s="4"/>
      <c r="K49" s="4"/>
    </row>
    <row r="50" spans="1:11" ht="41.4">
      <c r="A50" s="4"/>
      <c r="B50" s="4" t="s">
        <v>395</v>
      </c>
      <c r="C50" s="4" t="s">
        <v>409</v>
      </c>
      <c r="D50" s="4" t="s">
        <v>19</v>
      </c>
      <c r="E50" s="4" t="s">
        <v>432</v>
      </c>
      <c r="F50" s="4"/>
      <c r="G50" s="4" t="s">
        <v>410</v>
      </c>
      <c r="H50" s="4"/>
      <c r="I50" s="4"/>
      <c r="J50" s="4"/>
      <c r="K50" s="4"/>
    </row>
    <row r="51" spans="1:11" ht="41.4">
      <c r="A51" s="4"/>
      <c r="B51" s="4" t="s">
        <v>395</v>
      </c>
      <c r="C51" s="4" t="s">
        <v>411</v>
      </c>
      <c r="D51" s="4" t="s">
        <v>412</v>
      </c>
      <c r="E51" s="4" t="s">
        <v>413</v>
      </c>
      <c r="F51" s="4"/>
      <c r="G51" s="4" t="s">
        <v>414</v>
      </c>
      <c r="H51" s="4"/>
      <c r="I51" s="4"/>
      <c r="J51" s="4"/>
      <c r="K51" s="4"/>
    </row>
    <row r="52" spans="1:11" ht="41.4">
      <c r="A52" s="4"/>
      <c r="B52" s="4" t="s">
        <v>395</v>
      </c>
      <c r="C52" s="4" t="s">
        <v>415</v>
      </c>
      <c r="D52" s="4" t="s">
        <v>416</v>
      </c>
      <c r="E52" s="4" t="s">
        <v>417</v>
      </c>
      <c r="F52" s="4"/>
      <c r="G52" s="4" t="s">
        <v>418</v>
      </c>
      <c r="H52" s="4"/>
      <c r="I52" s="4"/>
      <c r="J52" s="4"/>
      <c r="K52" s="4"/>
    </row>
    <row r="53" spans="1:11" ht="41.4">
      <c r="A53" s="4"/>
      <c r="B53" s="4" t="s">
        <v>395</v>
      </c>
      <c r="C53" s="4" t="s">
        <v>419</v>
      </c>
      <c r="D53" s="4" t="s">
        <v>420</v>
      </c>
      <c r="E53" s="4" t="s">
        <v>421</v>
      </c>
      <c r="F53" s="4" t="s">
        <v>422</v>
      </c>
      <c r="G53" s="4" t="s">
        <v>427</v>
      </c>
      <c r="H53" s="4"/>
      <c r="I53" s="4"/>
      <c r="J53" s="4"/>
      <c r="K53" s="4"/>
    </row>
    <row r="54" spans="1:11" ht="27.6">
      <c r="A54" s="4"/>
      <c r="B54" s="4" t="s">
        <v>395</v>
      </c>
      <c r="C54" s="4" t="s">
        <v>423</v>
      </c>
      <c r="D54" s="4" t="s">
        <v>424</v>
      </c>
      <c r="E54" s="4" t="s">
        <v>425</v>
      </c>
      <c r="F54" s="4" t="s">
        <v>422</v>
      </c>
      <c r="G54" s="4" t="s">
        <v>426</v>
      </c>
      <c r="H54" s="4"/>
      <c r="I54" s="4"/>
      <c r="J54" s="4"/>
      <c r="K54" s="4"/>
    </row>
    <row r="56" spans="1:11" ht="27.6">
      <c r="A56" s="4"/>
      <c r="B56" s="4" t="s">
        <v>433</v>
      </c>
      <c r="C56" s="4" t="s">
        <v>434</v>
      </c>
      <c r="D56" s="4" t="s">
        <v>435</v>
      </c>
      <c r="E56" s="4" t="s">
        <v>436</v>
      </c>
      <c r="F56" s="4" t="s">
        <v>437</v>
      </c>
      <c r="G56" s="4" t="s">
        <v>438</v>
      </c>
      <c r="H56" s="4"/>
      <c r="I56" s="4"/>
      <c r="J56" s="4"/>
      <c r="K56" s="4"/>
    </row>
    <row r="57" spans="1:11" ht="27.6">
      <c r="A57" s="4"/>
      <c r="B57" s="4" t="s">
        <v>433</v>
      </c>
      <c r="C57" s="4" t="s">
        <v>439</v>
      </c>
      <c r="D57" s="4" t="s">
        <v>440</v>
      </c>
      <c r="E57" s="4" t="s">
        <v>441</v>
      </c>
      <c r="F57" s="4" t="s">
        <v>442</v>
      </c>
      <c r="G57" s="4" t="s">
        <v>443</v>
      </c>
      <c r="H57" s="4"/>
      <c r="I57" s="4"/>
      <c r="J57" s="4"/>
      <c r="K57" s="4"/>
    </row>
    <row r="58" spans="1:11" ht="27.6">
      <c r="A58" s="4"/>
      <c r="B58" s="4" t="s">
        <v>433</v>
      </c>
      <c r="C58" s="4" t="s">
        <v>444</v>
      </c>
      <c r="D58" s="4" t="s">
        <v>440</v>
      </c>
      <c r="E58" s="4" t="s">
        <v>445</v>
      </c>
      <c r="F58" s="4" t="s">
        <v>446</v>
      </c>
      <c r="G58" s="4" t="s">
        <v>447</v>
      </c>
      <c r="H58" s="4"/>
      <c r="I58" s="4"/>
      <c r="J58" s="4"/>
      <c r="K58" s="4"/>
    </row>
    <row r="59" spans="1:11">
      <c r="A59" s="4"/>
      <c r="B59" s="4" t="s">
        <v>433</v>
      </c>
      <c r="C59" s="4" t="s">
        <v>448</v>
      </c>
      <c r="D59" s="4" t="s">
        <v>440</v>
      </c>
      <c r="E59" s="4" t="s">
        <v>449</v>
      </c>
      <c r="F59" s="4" t="s">
        <v>450</v>
      </c>
      <c r="G59" s="4" t="s">
        <v>459</v>
      </c>
      <c r="H59" s="4"/>
      <c r="I59" s="4"/>
      <c r="J59" s="4"/>
      <c r="K59" s="4"/>
    </row>
    <row r="60" spans="1:11" ht="27.6">
      <c r="A60" s="4"/>
      <c r="B60" s="4" t="s">
        <v>433</v>
      </c>
      <c r="C60" s="4" t="s">
        <v>451</v>
      </c>
      <c r="D60" s="4" t="s">
        <v>452</v>
      </c>
      <c r="E60" s="4" t="s">
        <v>453</v>
      </c>
      <c r="F60" s="4" t="s">
        <v>454</v>
      </c>
      <c r="G60" s="4" t="s">
        <v>455</v>
      </c>
      <c r="H60" s="4"/>
      <c r="I60" s="4"/>
      <c r="J60" s="4"/>
      <c r="K60" s="4"/>
    </row>
    <row r="61" spans="1:11">
      <c r="A61" s="4"/>
      <c r="B61" s="4" t="s">
        <v>433</v>
      </c>
      <c r="C61" s="4" t="s">
        <v>456</v>
      </c>
      <c r="D61" s="4" t="s">
        <v>457</v>
      </c>
      <c r="E61" s="4" t="s">
        <v>445</v>
      </c>
      <c r="F61" s="4" t="s">
        <v>458</v>
      </c>
      <c r="G61" s="4" t="s">
        <v>460</v>
      </c>
      <c r="H61" s="4"/>
      <c r="I61" s="4"/>
      <c r="J61" s="4"/>
      <c r="K61" s="4"/>
    </row>
  </sheetData>
  <mergeCells count="5">
    <mergeCell ref="A1:E3"/>
    <mergeCell ref="A4:C4"/>
    <mergeCell ref="A5:C5"/>
    <mergeCell ref="A6:C6"/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Cẩm nang</vt:lpstr>
      <vt:lpstr>Tài liệu chuyên gia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Nguyen Phan Sy</cp:lastModifiedBy>
  <dcterms:created xsi:type="dcterms:W3CDTF">2015-06-05T18:17:20Z</dcterms:created>
  <dcterms:modified xsi:type="dcterms:W3CDTF">2026-07-03T04:26:03Z</dcterms:modified>
</cp:coreProperties>
</file>