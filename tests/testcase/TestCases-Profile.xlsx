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codeName="ThisWorkbook"/>
  <mc:AlternateContent xmlns:mc="http://schemas.openxmlformats.org/markup-compatibility/2006">
    <mc:Choice Requires="x15">
      <x15ac:absPath xmlns:x15ac="http://schemas.microsoft.com/office/spreadsheetml/2010/11/ac" url="C:\Users\Admin\Desktop\Land - Copy\Testcase\"/>
    </mc:Choice>
  </mc:AlternateContent>
  <xr:revisionPtr revIDLastSave="304" documentId="13_ncr:1_{77ADE87D-44D0-415A-8DE2-9278DB9AF5AA}" xr6:coauthVersionLast="47" xr6:coauthVersionMax="47" xr10:uidLastSave="{9B2CBEB6-CD1C-4CFD-A064-729EE83B236F}"/>
  <bookViews>
    <workbookView xWindow="19090" yWindow="-2600" windowWidth="25820" windowHeight="15500" firstSheet="1" activeTab="2" xr2:uid="{00000000-000D-0000-FFFF-FFFF00000000}"/>
  </bookViews>
  <sheets>
    <sheet name="Cập nhật thông tin" sheetId="2" r:id="rId1"/>
    <sheet name="Cập nhật thông tinn" sheetId="3" r:id="rId2"/>
    <sheet name="Đổi mật khẩu"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4" l="1"/>
  <c r="E6" i="4"/>
  <c r="E5" i="4"/>
  <c r="E4" i="4"/>
  <c r="E7" i="3"/>
  <c r="E6" i="3"/>
  <c r="E5" i="3"/>
  <c r="E4" i="3"/>
  <c r="E7" i="2"/>
  <c r="E6" i="2"/>
  <c r="E5" i="2"/>
  <c r="E4" i="2"/>
</calcChain>
</file>

<file path=xl/sharedStrings.xml><?xml version="1.0" encoding="utf-8"?>
<sst xmlns="http://schemas.openxmlformats.org/spreadsheetml/2006/main" count="1759" uniqueCount="1067">
  <si>
    <r>
      <rPr>
        <b/>
        <sz val="16"/>
        <rFont val="Times New Roman"/>
        <family val="1"/>
      </rPr>
      <t xml:space="preserve">KỊCH BẢN KIỂM THỬ
</t>
    </r>
    <r>
      <rPr>
        <sz val="16"/>
        <rFont val="Times New Roman"/>
        <family val="1"/>
      </rPr>
      <t>Dự án: &lt;&lt;Tên dự án&gt;&gt;</t>
    </r>
  </si>
  <si>
    <t>Số trường hợp kiểm thử đạt (Pass)</t>
  </si>
  <si>
    <t>x</t>
  </si>
  <si>
    <t>Số trường hợp kiểm thử không đạt (Fail)</t>
  </si>
  <si>
    <t>Số trường hợp kiểm thử Không test(Pending)</t>
  </si>
  <si>
    <t>Tổng số trường hợp kiểm thử</t>
  </si>
  <si>
    <t>Mã trường hợp kiểm thử</t>
  </si>
  <si>
    <r>
      <t xml:space="preserve">Chức năng
</t>
    </r>
    <r>
      <rPr>
        <i/>
        <sz val="9"/>
        <rFont val="Times New Roman"/>
        <family val="1"/>
      </rPr>
      <t>&lt;&lt;Liệt kê các chức năng cần kiểm thử&gt;&gt;</t>
    </r>
  </si>
  <si>
    <r>
      <t xml:space="preserve">Mô tả
</t>
    </r>
    <r>
      <rPr>
        <i/>
        <sz val="9"/>
        <rFont val="Times New Roman"/>
        <family val="1"/>
      </rPr>
      <t>&lt;&lt; Mô tả test case đáp ứng có kịch bản &gt;&gt;</t>
    </r>
  </si>
  <si>
    <r>
      <t xml:space="preserve">Điều kiện tiên quyết
</t>
    </r>
    <r>
      <rPr>
        <sz val="9"/>
        <rFont val="Times New Roman"/>
        <family val="1"/>
      </rPr>
      <t>&lt;&lt; Mô tả điều kiện cần đáp ứng &gt;&gt;</t>
    </r>
  </si>
  <si>
    <r>
      <t xml:space="preserve">Các bước thực hiện
</t>
    </r>
    <r>
      <rPr>
        <i/>
        <sz val="9"/>
        <rFont val="Times New Roman"/>
        <family val="1"/>
      </rPr>
      <t>&lt;&lt; Mô tả test case đáp ứng có kịch bản &gt;&gt;</t>
    </r>
  </si>
  <si>
    <r>
      <t xml:space="preserve">Dữ liệu test
</t>
    </r>
    <r>
      <rPr>
        <i/>
        <sz val="9"/>
        <rFont val="Times New Roman"/>
        <family val="1"/>
      </rPr>
      <t>&lt;&lt;Dữ liệu cần để thực hiện kịch bản&gt;&gt;</t>
    </r>
  </si>
  <si>
    <r>
      <t xml:space="preserve">Kết quả mong muốn
</t>
    </r>
    <r>
      <rPr>
        <i/>
        <sz val="9"/>
        <rFont val="Times New Roman"/>
        <family val="1"/>
      </rPr>
      <t>&lt;&lt; Mô tả kết quả mong muốn &gt;&gt;</t>
    </r>
  </si>
  <si>
    <r>
      <t xml:space="preserve">Kết quả
</t>
    </r>
    <r>
      <rPr>
        <i/>
        <sz val="9"/>
        <rFont val="Times New Roman"/>
        <family val="1"/>
      </rPr>
      <t>&lt;&lt;Trạng thái Test&gt;&gt;</t>
    </r>
  </si>
  <si>
    <t>Người thực hiện</t>
  </si>
  <si>
    <t>Ngày thực hiện</t>
  </si>
  <si>
    <r>
      <t xml:space="preserve">Ghi chú
</t>
    </r>
    <r>
      <rPr>
        <i/>
        <sz val="9"/>
        <color theme="1"/>
        <rFont val="Times New Roman"/>
        <family val="1"/>
      </rPr>
      <t>&lt;&lt; Bằng chứng lỗi, mã lỗi &gt;&gt;</t>
    </r>
  </si>
  <si>
    <t>ACC_001</t>
  </si>
  <si>
    <t>Tổng quan tài khoản</t>
  </si>
  <si>
    <t>Truy cập màn Tổng quan tài khoản khi đã đăng nhập</t>
  </si>
  <si>
    <t>User đã đăng nhập hợp lệ</t>
  </si>
  <si>
    <t>1. Mở trang tài khoản
2. Mặc định mở tab Tổng quan tài khoản</t>
  </si>
  <si>
    <t>User hợp lệ</t>
  </si>
  <si>
    <t>Hiển thị màn Tổng quan tài khoản, tab Thông tin cá nhân active</t>
  </si>
  <si>
    <t>ACC_002</t>
  </si>
  <si>
    <t>Guest truy cập màn Tổng quan tài khoản</t>
  </si>
  <si>
    <t>User chưa đăng nhập</t>
  </si>
  <si>
    <t>1. Truy cập URL trang tài khoản</t>
  </si>
  <si>
    <t>Guest session</t>
  </si>
  <si>
    <t>Hệ thống điều hướng về màn đăng nhập, không hiển thị thông tin tài khoản</t>
  </si>
  <si>
    <t>ACC_005</t>
  </si>
  <si>
    <t>Menu Tổng quan tài khoản active</t>
  </si>
  <si>
    <t>User đang ở màn Tổng quan tài khoản</t>
  </si>
  <si>
    <t>1. Quan sát menu sidebar</t>
  </si>
  <si>
    <t>-</t>
  </si>
  <si>
    <t>Menu Tổng quan tài khoản được highlight màu tím, có indicator bên trái</t>
  </si>
  <si>
    <t>ACC_006</t>
  </si>
  <si>
    <t>Hiển thị đầy đủ menu sidebar</t>
  </si>
  <si>
    <t>User đã mở trang tài khoản</t>
  </si>
  <si>
    <t>1. Quan sát sidebar</t>
  </si>
  <si>
    <t>Hiển thị các menu: Tổng quan tài khoản, Đổi mật khẩu, Đăng ký tài khoản nhà cung cấp, Quản lý liên kết tiếp thị, Quản lý gói, Lịch sử mua hàng, Đăng xuất</t>
  </si>
  <si>
    <t>ACC_007</t>
  </si>
  <si>
    <t>Click menu Đổi mật khẩu ở sidebar</t>
  </si>
  <si>
    <t>1. Click Đổi mật khẩu ở sidebar</t>
  </si>
  <si>
    <t>Hệ thống chuyển sang màn/tab Đổi mật khẩu theo thiết kế</t>
  </si>
  <si>
    <t>ACC_008</t>
  </si>
  <si>
    <t>Click tab Đổi mật khẩu trên header nội dung</t>
  </si>
  <si>
    <t>User đang ở tab Thông tin cá nhân</t>
  </si>
  <si>
    <t>1. Click tab Đổi mật khẩu</t>
  </si>
  <si>
    <t>Tab Đổi mật khẩu active, nội dung đổi mật khẩu được hiển thị</t>
  </si>
  <si>
    <t>ACC_009</t>
  </si>
  <si>
    <t>Click menu Đăng ký tài khoản nhà cung cấp</t>
  </si>
  <si>
    <t>User đang ở màn tài khoản</t>
  </si>
  <si>
    <t>1. Click menu Đăng ký tài khoản nhà cung cấp</t>
  </si>
  <si>
    <t>Điều hướng đúng sang màn đăng ký tài khoản nhà cung cấp</t>
  </si>
  <si>
    <t>ACC_010</t>
  </si>
  <si>
    <t>Click menu Quản lý liên kết tiếp thị</t>
  </si>
  <si>
    <t>1. Click menu Quản lý liên kết tiếp thị</t>
  </si>
  <si>
    <t>Điều hướng đúng sang màn quản lý liên kết tiếp thị</t>
  </si>
  <si>
    <t>ACC_011</t>
  </si>
  <si>
    <t>Click menu Quản lý gói</t>
  </si>
  <si>
    <t>1. Click menu Quản lý gói</t>
  </si>
  <si>
    <t>Điều hướng đúng sang màn quản lý gói</t>
  </si>
  <si>
    <t>ACC_012</t>
  </si>
  <si>
    <t>Click menu Lịch sử mua hàng</t>
  </si>
  <si>
    <t>1. Click menu Lịch sử mua hàng</t>
  </si>
  <si>
    <t>Điều hướng đúng sang màn lịch sử mua hàng</t>
  </si>
  <si>
    <t>ACC_013</t>
  </si>
  <si>
    <t>Hiển thị tiêu đề màn hình</t>
  </si>
  <si>
    <t>User đã mở màn Tổng quan tài khoản</t>
  </si>
  <si>
    <t>1. Quan sát tiêu đề</t>
  </si>
  <si>
    <t>Hiển thị tiêu đề “Tổng quan tài khoản” đúng chính tả</t>
  </si>
  <si>
    <t>ACC_014</t>
  </si>
  <si>
    <t>Thông tin cá nhân</t>
  </si>
  <si>
    <t>Hiển thị tab Thông tin cá nhân mặc định</t>
  </si>
  <si>
    <t>User mở màn Tổng quan tài khoản</t>
  </si>
  <si>
    <t>1. Quan sát tab header</t>
  </si>
  <si>
    <t>Tab Thông tin cá nhân active, gạch chân màu tím</t>
  </si>
  <si>
    <t>ACC_015</t>
  </si>
  <si>
    <t>Load dữ liệu hồ sơ thành công</t>
  </si>
  <si>
    <t>User có thông tin hồ sơ</t>
  </si>
  <si>
    <t>1. Mở màn Tổng quan tài khoản</t>
  </si>
  <si>
    <t>Các trường hồ sơ hiển thị đúng dữ liệu user từ hệ thống</t>
  </si>
  <si>
    <t>ACC_017</t>
  </si>
  <si>
    <t>Loading khi lấy thông tin hồ sơ</t>
  </si>
  <si>
    <t>API profile trả chậm</t>
  </si>
  <si>
    <t>API delay</t>
  </si>
  <si>
    <t>Hiển thị loading đến khi dữ liệu trả về</t>
  </si>
  <si>
    <t>ACC_018</t>
  </si>
  <si>
    <t>Avatar</t>
  </si>
  <si>
    <t>Hiển thị avatar cá nhân</t>
  </si>
  <si>
    <t>User có avatar</t>
  </si>
  <si>
    <t>1. Mở màn Tổng quan tài khoản
2. Quan sát avatar lớn</t>
  </si>
  <si>
    <t>Avatar user</t>
  </si>
  <si>
    <t>Avatar hiển thị đúng, không méo hình, không vỡ layout</t>
  </si>
  <si>
    <t>ACC_019</t>
  </si>
  <si>
    <t>User chưa có avatar</t>
  </si>
  <si>
    <t>User chưa upload avatar</t>
  </si>
  <si>
    <t>Hiển thị ảnh mặc định theo thiết kế</t>
  </si>
  <si>
    <t>ACC_020</t>
  </si>
  <si>
    <t>Click icon đổi ảnh đại diện</t>
  </si>
  <si>
    <t>1. Click icon ảnh cạnh avatar</t>
  </si>
  <si>
    <t>Mở file picker hoặc popup chọn ảnh</t>
  </si>
  <si>
    <t>ACC_021</t>
  </si>
  <si>
    <t>Upload avatar hợp lệ</t>
  </si>
  <si>
    <t>User chọn file ảnh hợp lệ</t>
  </si>
  <si>
    <t>1. Click icon đổi avatar
2. Chọn ảnh
3. Lưu thay đổi</t>
  </si>
  <si>
    <t>PNG/JPG/JPEG dưới dung lượng cho phép</t>
  </si>
  <si>
    <t>Avatar preview cập nhật, sau khi lưu hệ thống cập nhật ảnh đại diện thành công</t>
  </si>
  <si>
    <t>ACC_022</t>
  </si>
  <si>
    <t>Upload file không phải ảnh</t>
  </si>
  <si>
    <t>User chọn file không hợp lệ</t>
  </si>
  <si>
    <t>1. Click icon đổi avatar
2. Chọn file PDF/TXT</t>
  </si>
  <si>
    <t>file.pdf</t>
  </si>
  <si>
    <t>Hiển thị lỗi định dạng file không hợp lệ, không cập nhật avatar</t>
  </si>
  <si>
    <t>ACC_023</t>
  </si>
  <si>
    <t>Upload ảnh vượt dung lượng</t>
  </si>
  <si>
    <t>User chọn ảnh quá lớn</t>
  </si>
  <si>
    <t>1. Click đổi avatar
2. Chọn ảnh vượt max size 5mb</t>
  </si>
  <si>
    <t>Hiển thị lỗi dung lượng ảnh &gt; 5mb, không cập nhật avatar</t>
  </si>
  <si>
    <t>ACC_024</t>
  </si>
  <si>
    <t>Hủy chọn ảnh đại diện</t>
  </si>
  <si>
    <t>File picker đã mở</t>
  </si>
  <si>
    <t>1. Click đổi avatar
2. Đóng file picker không chọn ảnh</t>
  </si>
  <si>
    <t>Avatar hiện tại giữ nguyên, không phát sinh lỗi</t>
  </si>
  <si>
    <t>ACC_025</t>
  </si>
  <si>
    <t>Họ và tên</t>
  </si>
  <si>
    <t>Cập nhật họ và tên hợp lệ</t>
  </si>
  <si>
    <t>1. Sửa Họ và tên
2. Click Lưu thay đổi</t>
  </si>
  <si>
    <t>Nguyễn Văn A</t>
  </si>
  <si>
    <t>Lưu thành công, tên hiển thị cập nhật ở form và sidebar nếu sidebar dùng cùng dữ liệu</t>
  </si>
  <si>
    <t>ACC_026</t>
  </si>
  <si>
    <t>Để trống họ và tên</t>
  </si>
  <si>
    <t>User đang chỉnh sửa hồ sơ</t>
  </si>
  <si>
    <t>1. Xóa toàn bộ nội dung trường Họ và tên
2. Click Lưu thay đổi</t>
  </si>
  <si>
    <t>Trống</t>
  </si>
  <si>
    <t>Hiển thị lỗi bắt buộc nhập Họ và tên, không cho lưu thông tin</t>
  </si>
  <si>
    <t>ACC_028</t>
  </si>
  <si>
    <t>Nhập họ tên rất dài</t>
  </si>
  <si>
    <t>1. Nhập họ tên dài
2. Click Lưu thay đổi</t>
  </si>
  <si>
    <t>Chuỗi &gt; 100 ký tự</t>
  </si>
  <si>
    <t>Hệ thống tự xóa ký tự quá giới hạn</t>
  </si>
  <si>
    <t>ACC_029</t>
  </si>
  <si>
    <t>Họ tên có ký tự đặc biệt</t>
  </si>
  <si>
    <t>1. Nhập họ tên có ký tự đặc biệt hoặc số
2. Lưu</t>
  </si>
  <si>
    <t>Nguyễn @#$ Long</t>
  </si>
  <si>
    <t>Hệ thống báo lỗi inline Định dạng họ và tên không hợp lệ</t>
  </si>
  <si>
    <t>ACC_030</t>
  </si>
  <si>
    <t>Ngày sinh</t>
  </si>
  <si>
    <t>Hiển thị ngày sinh đúng định dạng</t>
  </si>
  <si>
    <t>User có ngày sinh</t>
  </si>
  <si>
    <t>Ngày sinh hiển thị đúng định dạng dd/mm/yyyy</t>
  </si>
  <si>
    <t>ACC_031</t>
  </si>
  <si>
    <t>Mở date picker từ icon lịch</t>
  </si>
  <si>
    <t>1. Click icon lịch tại trường Ngày sinh</t>
  </si>
  <si>
    <t>Date picker mở đúng vị trí, cho phép chọn ngày</t>
  </si>
  <si>
    <t>ACC_032</t>
  </si>
  <si>
    <t>Chọn ngày sinh hợp lệ</t>
  </si>
  <si>
    <t>Date picker đang mở</t>
  </si>
  <si>
    <t>1. Chọn ngày sinh hợp lệ
2. Click Lưu thay đổi</t>
  </si>
  <si>
    <t>Trường ngày sinh cập nhật và lưu thành công</t>
  </si>
  <si>
    <t>ACC_033</t>
  </si>
  <si>
    <t>Nhập sai định dạng ngày sinh</t>
  </si>
  <si>
    <t>User nhập trực tiếp nếu field cho nhập</t>
  </si>
  <si>
    <t>1. Nhập ngày sai định dạng
2. Click Lưu</t>
  </si>
  <si>
    <t>1994/15/12</t>
  </si>
  <si>
    <t>Tự động xóa và trở về giá trị trước đó</t>
  </si>
  <si>
    <t>ACC_034</t>
  </si>
  <si>
    <t>Chọn ngày sinh ở tương lai</t>
  </si>
  <si>
    <t>User đang chỉnh ngày sinh</t>
  </si>
  <si>
    <t>1. Chọn ngày lớn hơn ngày hiện tại
2. Lưu</t>
  </si>
  <si>
    <t>ACC_035</t>
  </si>
  <si>
    <t>Xóa ngày sinh và lưu thay đổi</t>
  </si>
  <si>
    <t xml:space="preserve">1. Xóa giá trị Ngày sinh
</t>
  </si>
  <si>
    <t>Hệ thống cho phép lưu thành công với ngày sinh trống</t>
  </si>
  <si>
    <t>ACC_036</t>
  </si>
  <si>
    <t>Email</t>
  </si>
  <si>
    <t>Email hiển thị disabled</t>
  </si>
  <si>
    <t>User có email</t>
  </si>
  <si>
    <t>1. Mở tab Thông tin cá nhân
2. Quan sát trường Email</t>
  </si>
  <si>
    <t>Trường Email hiển thị disabled, user không thể sửa trực tiếp</t>
  </si>
  <si>
    <t>ACC_038</t>
  </si>
  <si>
    <t>Copy email từ icon copy</t>
  </si>
  <si>
    <t>User có email, icon copy hiển thị</t>
  </si>
  <si>
    <t>1. Click icon copy cạnh email</t>
  </si>
  <si>
    <t>Email được copy vào clipboard, hiển thị thông báo copy thành công</t>
  </si>
  <si>
    <t>ACC_040</t>
  </si>
  <si>
    <t>Số điện thoại</t>
  </si>
  <si>
    <t>Cập nhật số điện thoại hợp lệ</t>
  </si>
  <si>
    <t>1. Sửa Số điện thoại
2. Click Lưu thay đổi</t>
  </si>
  <si>
    <t>Lưu thành công, số điện thoại mới được hiển thị</t>
  </si>
  <si>
    <t>ACC_041</t>
  </si>
  <si>
    <t>Số điện thoại chứa chữ cái</t>
  </si>
  <si>
    <t>User đang chỉnh số điện thoại</t>
  </si>
  <si>
    <t>1. Nhập số điện thoại có chữ
2. Click Lưu</t>
  </si>
  <si>
    <t>Chặn nhập chữ</t>
  </si>
  <si>
    <t>ACC_042</t>
  </si>
  <si>
    <t>Số điện thoại quá ngắn</t>
  </si>
  <si>
    <t>1. Nhập số quá ngắn
2. Click Lưu</t>
  </si>
  <si>
    <t>Hiển thị lỗi số điện thoại không hợp lệ</t>
  </si>
  <si>
    <t>ACC_043</t>
  </si>
  <si>
    <t>Số điện thoại quá dài</t>
  </si>
  <si>
    <t>1. Nhập số quá dài
2. Click Lưu</t>
  </si>
  <si>
    <t>Chặn tối da 10 số</t>
  </si>
  <si>
    <t>ACC_044</t>
  </si>
  <si>
    <t>Số điện thoại có khoảng trắng đầu/cuối</t>
  </si>
  <si>
    <t>1. Nhập số có khoảng trắng
2. Click Lưu</t>
  </si>
  <si>
    <t>Hệ thống tự xóa khoảng tráng khi nhập</t>
  </si>
  <si>
    <t>ACC_045</t>
  </si>
  <si>
    <t>Xóa số điện thoại và lưu thay đổi</t>
  </si>
  <si>
    <t>1. Xóa giá trị Số điện thoại
2. Click Lưu thay đổi</t>
  </si>
  <si>
    <t>Hệ thống cho phép lưu thành công với số điện thoại trống</t>
  </si>
  <si>
    <t>Kiểm tra số điện thoại hợp lệ (đúng 10 số và bắt đầu bằng 0)</t>
  </si>
  <si>
    <t>Xác minh rằng trường số điện thoại chấp nhận số điện thoại hợp lệ (đúng 10 số và bắt đầu bằng 0).</t>
  </si>
  <si>
    <t>Người dùng đã đăng nhập.</t>
  </si>
  <si>
    <t>1. Truy cập trang thông tin tài khoản.
2. Chọn 'Sửa tài khoản'.
3. Mở pop-up cập nhật thông tin tài khoản.
4. Nhập một số điện thoại hợp lệ (ví dụ: 0912345678) vào trường 'Số điện thoại'.
5. Lưu thay đổi.</t>
  </si>
  <si>
    <t>Hệ thống chấp nhận số điện thoại hợp lệ và lưu thành công.</t>
  </si>
  <si>
    <t>Kiểm tra số điện thoại - Chữ số thứ 2 từ 5-9</t>
  </si>
  <si>
    <t>Kiểm tra ràng buộc số điện thoại phải có chữ số thứ 2 từ 5-9 khi cập nhật thông tin tài khoản.</t>
  </si>
  <si>
    <t>Người dùng đã đăng nhập và có thể truy cập trang thông tin tài khoản.</t>
  </si>
  <si>
    <t>1. Truy cập trang thông tin tài khoản.
2. Chọn 'Sửa tài khoản'.
3. Trong pop-up cập nhật, nhập số điện thoại không có chữ số thứ 2 từ 5-9 (ví dụ: 0123456789).
4. Nhấn 'Cập nhật'.
5. Kiểm tra thông báo lỗi.</t>
  </si>
  <si>
    <t>Hệ thống hiển thị thông báo lỗi yêu cầu số điện thoại phải có chữ số thứ 2 từ 5-9.</t>
  </si>
  <si>
    <t>ACC_046</t>
  </si>
  <si>
    <t>Tên tài khoản</t>
  </si>
  <si>
    <t>Tên tài khoản hiển thị readonly</t>
  </si>
  <si>
    <t>User có username</t>
  </si>
  <si>
    <t>1. Quan sát trường Tên tài khoản</t>
  </si>
  <si>
    <t>Trường Tên tài khoản hiển thị disabled/readonly, không cho sửa</t>
  </si>
  <si>
    <t>ACC_048</t>
  </si>
  <si>
    <t>Mã giới thiệu</t>
  </si>
  <si>
    <t>Mã giới thiệu hiển thị readonly</t>
  </si>
  <si>
    <t>1. Quan sát trường Mã giới thiệu</t>
  </si>
  <si>
    <t>Mã giới thiệu hiển thị disabled/readonly, không cho sửa</t>
  </si>
  <si>
    <t>Kiểm tra thao tác</t>
  </si>
  <si>
    <t>1. Nhấn vào link mã giới thiệu</t>
  </si>
  <si>
    <t>Hệ thống copy mã giới thiệu</t>
  </si>
  <si>
    <t>Điều hướng link mã giới thiệu</t>
  </si>
  <si>
    <t>Đã copy link giới thiệu</t>
  </si>
  <si>
    <t>1. Dán link và enter
2. Đi đến trang đăng ký tài khoản khi người dùng chưa đăng nhập 360
3. Người dùng tạo tài khoản bình thường</t>
  </si>
  <si>
    <t>Form hoàn thành hồ sơ của tài khoản vừa đăng ký tự điền trường mã giới thiệu của link</t>
  </si>
  <si>
    <t>ACC_050</t>
  </si>
  <si>
    <t>Giới thiệu</t>
  </si>
  <si>
    <t>Nhập giới thiệu bản thân hợp lệ</t>
  </si>
  <si>
    <t>1. Nhập nội dung giới thiệu
2. Click Lưu thay đổi</t>
  </si>
  <si>
    <t>Nội dung giới thiệu được lưu và hiển thị lại chính xác</t>
  </si>
  <si>
    <t>ACC_051</t>
  </si>
  <si>
    <t>Để trống giới thiệu</t>
  </si>
  <si>
    <t>User xóa nội dung giới thiệu</t>
  </si>
  <si>
    <t>1. Xóa giới thiệu
2. Click Lưu thay đổi</t>
  </si>
  <si>
    <t>Hệ thống cho phép lưu trống</t>
  </si>
  <si>
    <t>ACC_052</t>
  </si>
  <si>
    <t>Nhập giới thiệu quá dài</t>
  </si>
  <si>
    <t>User nhập text dài</t>
  </si>
  <si>
    <t>1. Nhập nội dung rất dài
2. Click Lưu</t>
  </si>
  <si>
    <t>&gt; max length</t>
  </si>
  <si>
    <t>Hệ thống giới hạn/cảnh báo độ dài, không làm vỡ layout</t>
  </si>
  <si>
    <t>ACC_053</t>
  </si>
  <si>
    <t>Nhập ký tự đặc biệt và xuống dòng</t>
  </si>
  <si>
    <t>User đang nhập giới thiệu</t>
  </si>
  <si>
    <t>1. Nhập ký tự đặc biệt và xuống dòng
2. Lưu</t>
  </si>
  <si>
    <t>Text nhiều dòng</t>
  </si>
  <si>
    <t>Hệ thống lưu và hiển thị an toàn, không lỗi XSS/layout</t>
  </si>
  <si>
    <t>ACC_054</t>
  </si>
  <si>
    <t>Nhập script trong giới thiệu</t>
  </si>
  <si>
    <t>1. Nhập script
2. Lưu
3. Reload màn</t>
  </si>
  <si>
    <t>&lt;script&gt;alert(1)&lt;/script&gt;</t>
  </si>
  <si>
    <t>Nội dung được sanitize/escape, không thực thi script</t>
  </si>
  <si>
    <t>ACC_055</t>
  </si>
  <si>
    <t>Link giới thiệu</t>
  </si>
  <si>
    <t>Hiển thị link giới thiệu</t>
  </si>
  <si>
    <t>User có mã giới thiệu</t>
  </si>
  <si>
    <t>1. Mở tab Thông tin cá nhân
2. Quan sát Link giới thiệu</t>
  </si>
  <si>
    <t>Link giới thiệu hiển thị đúng format và chứa mã giới thiệu của user</t>
  </si>
  <si>
    <t>ACC_056</t>
  </si>
  <si>
    <t>Copy link giới thiệu</t>
  </si>
  <si>
    <t>Link giới thiệu đang hiển thị</t>
  </si>
  <si>
    <t>1. Click icon copy cạnh link giới thiệu</t>
  </si>
  <si>
    <t>Link refCode</t>
  </si>
  <si>
    <t>Link được copy đầy đủ vào clipboard, hiển thị toast copy thành công nếu có</t>
  </si>
  <si>
    <t>ACC_057</t>
  </si>
  <si>
    <t>Link giới thiệu dài không vỡ layout</t>
  </si>
  <si>
    <t>User có link giới thiệu dài</t>
  </si>
  <si>
    <t>1. Quan sát box Link giới thiệu</t>
  </si>
  <si>
    <t>URL dài</t>
  </si>
  <si>
    <t>Link được truncate/wrap đúng thiết kế, không vỡ layout</t>
  </si>
  <si>
    <t>ACC_059</t>
  </si>
  <si>
    <t>Lưu thay đổi</t>
  </si>
  <si>
    <t>Nút Lưu thay đổi hiển thị đúng</t>
  </si>
  <si>
    <t>1. Quan sát cuối form</t>
  </si>
  <si>
    <t>Nút Lưu thay đổi hiển thị màu tím, có thể click khi user đang chỉnh sửa</t>
  </si>
  <si>
    <t>ACC_060</t>
  </si>
  <si>
    <t>Lưu khi không thay đổi dữ liệu</t>
  </si>
  <si>
    <t>User không sửa field nào</t>
  </si>
  <si>
    <t>1. Click Lưu thay đổi</t>
  </si>
  <si>
    <t>Không đổi dữ liệu</t>
  </si>
  <si>
    <t>Hệ thống không lỗi; hiển thị thông báo đã lưu hoặc không có thay đổi theo thiết kế</t>
  </si>
  <si>
    <t>ACC_061</t>
  </si>
  <si>
    <t>Lưu nhiều field cùng lúc</t>
  </si>
  <si>
    <t>User sửa nhiều field hợp lệ</t>
  </si>
  <si>
    <t>1. Sửa họ tên, ngày sinh, số điện thoại, giới thiệu2. Click Lưu</t>
  </si>
  <si>
    <t>Dữ liệu hợp lệ</t>
  </si>
  <si>
    <t>Tất cả thông tin được cập nhật thành công trong một lần lưu</t>
  </si>
  <si>
    <t>ACC_062</t>
  </si>
  <si>
    <t>API lưu thông tin thành công</t>
  </si>
  <si>
    <t>User nhập dữ liệu hợp lệ</t>
  </si>
  <si>
    <t>Profile hợp lệ</t>
  </si>
  <si>
    <t>Hiển thị thông báo lưu thành công, dữ liệu mới được giữ sau reload</t>
  </si>
  <si>
    <t>ACC_063</t>
  </si>
  <si>
    <t>API lưu thông tin lỗi</t>
  </si>
  <si>
    <t>User nhập dữ liệu hợp lệ, API lỗi</t>
  </si>
  <si>
    <t>1. Click Lưu thay đổi
2. Giả lập API 500</t>
  </si>
  <si>
    <t>API 500</t>
  </si>
  <si>
    <t>Hiển thị thông báo lưu thất bại, dữ liệu chưa được commit không ghi đè dữ liệu cũ</t>
  </si>
  <si>
    <t>ACC_064</t>
  </si>
  <si>
    <t>Double click Lưu thay đổi</t>
  </si>
  <si>
    <t>User có dữ liệu hợp lệ cần lưu</t>
  </si>
  <si>
    <t>1. Double click Lưu thay đổi</t>
  </si>
  <si>
    <t>Chỉ gửi một request hoặc xử lý idempotent, không tạo trạng thái sai</t>
  </si>
  <si>
    <t>ACC_065</t>
  </si>
  <si>
    <t>Nút Lưu chuyển loading khi submit</t>
  </si>
  <si>
    <t>API lưu trả chậm</t>
  </si>
  <si>
    <t>1. Click Lưu thay đổi
2. Quan sát nút</t>
  </si>
  <si>
    <t>API pending</t>
  </si>
  <si>
    <t>Nút hiển thị loading/disabled cho đến khi request hoàn tất</t>
  </si>
  <si>
    <t>ACC_066</t>
  </si>
  <si>
    <t>Reload sau khi lưu thành công</t>
  </si>
  <si>
    <t>User đã lưu profile thành công</t>
  </si>
  <si>
    <t>1. Reload trang tài khoản</t>
  </si>
  <si>
    <t>Dữ liệu sau reload vẫn là dữ liệu đã lưu</t>
  </si>
  <si>
    <t>ACC_067</t>
  </si>
  <si>
    <t>Rời màn khi có dữ liệu chưa lưu</t>
  </si>
  <si>
    <t>User sửa field nhưng chưa lưu</t>
  </si>
  <si>
    <t>1. Sửa dữ liệu
2. Click menu khác hoặc reload</t>
  </si>
  <si>
    <t>Dữ liệu chưa lưu</t>
  </si>
  <si>
    <t>Trả lại dữ liệu cũ</t>
  </si>
  <si>
    <t>ACC_069</t>
  </si>
  <si>
    <t>Xóa tài khoản</t>
  </si>
  <si>
    <t>Mở popup Xóa tài khoản</t>
  </si>
  <si>
    <t>User click nút Xóa tài khoản</t>
  </si>
  <si>
    <t>1. Click Xóa tài khoản</t>
  </si>
  <si>
    <t>Popup Xóa tài khoản mở, nền phía sau bị overlay mờ</t>
  </si>
  <si>
    <t>ACC_071</t>
  </si>
  <si>
    <t>Popup hiển thị email input</t>
  </si>
  <si>
    <t>Popup Xóa tài khoản đang mở</t>
  </si>
  <si>
    <t>1. Quan sát field Email</t>
  </si>
  <si>
    <t>Field Email hiển thị để user nhập/xác nhận email trước khi xóa tài khoản</t>
  </si>
  <si>
    <t>ACC_073</t>
  </si>
  <si>
    <t>Đóng popup bằng icon X</t>
  </si>
  <si>
    <t>Popup đang mở</t>
  </si>
  <si>
    <t>1. Click icon X góc phải popup</t>
  </si>
  <si>
    <t>Popup đóng, không xóa tài khoản, dữ liệu trên form giữ nguyên</t>
  </si>
  <si>
    <t>ACC_070</t>
  </si>
  <si>
    <t>Popup hiển thị nội dung cảnh báo</t>
  </si>
  <si>
    <t>1. Quan sát nội dung popup</t>
  </si>
  <si>
    <t>Hiển thị cảnh báo hành động không thể hoàn tác và dữ liệu cá nhân sẽ bị xóa vĩnh viễn</t>
  </si>
  <si>
    <t>ACC_074</t>
  </si>
  <si>
    <t>Đóng popup bằng Hủy bỏ</t>
  </si>
  <si>
    <t>1. Click Hủy bỏ</t>
  </si>
  <si>
    <t>Popup đóng, không xóa tài khoản</t>
  </si>
  <si>
    <t>ACC_075</t>
  </si>
  <si>
    <t>Click ngoài popup</t>
  </si>
  <si>
    <t>1. Click vào vùng overlay ngoài popup</t>
  </si>
  <si>
    <t>Popup đóng hoặc không đóng theo rule thiết kế, tuyệt đối không xóa tài khoản</t>
  </si>
  <si>
    <t>ACC_077</t>
  </si>
  <si>
    <t>Xóa tài khoản thành công với email đúng</t>
  </si>
  <si>
    <t>1. Nhập email đúng của tài khoản
2. Click Xóa tài khoản</t>
  </si>
  <si>
    <t>Hệ thống xóa tài khoản thành công, đăng xuất user và điều hướng về trang chủ</t>
  </si>
  <si>
    <t>ACC_078</t>
  </si>
  <si>
    <t>Nút Xóa tài khoản disabled khi chưa nhập email</t>
  </si>
  <si>
    <t>1. Xóa toàn bộ nội dung trong ô Email
2. Quan sát nút Xóa tài khoản</t>
  </si>
  <si>
    <t>Nút Xóa tài khoản ở trạng thái disabled, user không thể click để gửi yêu cầu xóa</t>
  </si>
  <si>
    <t>ACC_079</t>
  </si>
  <si>
    <t>Email sai khác email tài khoản</t>
  </si>
  <si>
    <t>Popup Xóa tài khoản đang mở, ô Email có dữ liệu</t>
  </si>
  <si>
    <t>1. Nhập email khác email tài khoản2. Click Xóa tài khoản</t>
  </si>
  <si>
    <t>Nút Xóa tài khoản được enable do đã nhập email; khi click hệ thống hiển thị lỗi email không khớp, không xóa tài khoản</t>
  </si>
  <si>
    <t>ACC_080</t>
  </si>
  <si>
    <t>Email sai định dạng</t>
  </si>
  <si>
    <t>1. Nhập email sai định dạng2. Click Xóa tài khoản</t>
  </si>
  <si>
    <t>abc@</t>
  </si>
  <si>
    <t>Nút Xóa tài khoản được enable do đã nhập email; khi click hệ thống hiển thị lỗi email không hợp lệ, không gọi API xóa tài khoản</t>
  </si>
  <si>
    <t>ACC_081</t>
  </si>
  <si>
    <t>Email đúng nhưng có khoảng trắng đầu/cuối</t>
  </si>
  <si>
    <t>1. Nhập email đúng có khoảng trắng2. Click Xóa tài khoản</t>
  </si>
  <si>
    <t>Hệ thống trim email và cho phép tiếp tục nếu sau trim khớp</t>
  </si>
  <si>
    <t>ACC_082</t>
  </si>
  <si>
    <t>Email đúng nhưng khác chữ hoa/thường</t>
  </si>
  <si>
    <t>1. Nhập email viết hoa2. Click Xóa tài khoản</t>
  </si>
  <si>
    <t>Hệ thống xử lý không phân biệt hoa thường hoặc báo lỗi theo rule</t>
  </si>
  <si>
    <t>ACC_083</t>
  </si>
  <si>
    <t>Double click nút Xóa tài khoản trong popup</t>
  </si>
  <si>
    <t>Popup đang mở, email hợp lệ</t>
  </si>
  <si>
    <t>1. Nhập email đúng2. Double click Xóa tài khoản</t>
  </si>
  <si>
    <t>Chỉ gửi một request xóa tài khoản; không gọi API nhiều lần; sau khi thành công user bị đăng xuất và về trang chủ</t>
  </si>
  <si>
    <t>ACC_084</t>
  </si>
  <si>
    <t>API xóa tài khoản trả lỗi</t>
  </si>
  <si>
    <t>1. Click Xóa tài khoản2. Giả lập API lỗi</t>
  </si>
  <si>
    <t>Hiển thị xóa tài khoản thất bại, popup vẫn mở hoặc cho thử lại, tài khoản chưa bị xóa</t>
  </si>
  <si>
    <t>ACC_085</t>
  </si>
  <si>
    <t>Session hết hạn khi xóa tài khoản</t>
  </si>
  <si>
    <t>Popup đang mở, session hết hạn</t>
  </si>
  <si>
    <t>Expired token</t>
  </si>
  <si>
    <t>Hiển thị phiên hết hạn, điều hướng đăng nhập, không xóa tài khoản nếu không xác thực lại</t>
  </si>
  <si>
    <t>ACC_086</t>
  </si>
  <si>
    <t>Nút Xóa tài khoản disabled khi đang xử lý</t>
  </si>
  <si>
    <t>1. Click Xóa tài khoản2. Quan sát trạng thái nút trong lúc API pending</t>
  </si>
  <si>
    <t>Nút Xóa tài khoản chuyển loading/disabled trong lúc xử lý, ngăn user bấm lại</t>
  </si>
  <si>
    <t>ACC_087</t>
  </si>
  <si>
    <t>Sau khi xóa thành công không còn session đăng nhập</t>
  </si>
  <si>
    <t>Tài khoản đã được xóa thành công</t>
  </si>
  <si>
    <t>1. Sau khi hệ thống điều hướng về trang chủ2. Truy cập lại trang Tổng quan tài khoản</t>
  </si>
  <si>
    <t>Tài khoản đã xóa</t>
  </si>
  <si>
    <t>Hệ thống không cho vào màn tài khoản, yêu cầu đăng nhập lại hoặc báo tài khoản không tồn tại theo rule đăng nhập</t>
  </si>
  <si>
    <t>ACC_088</t>
  </si>
  <si>
    <t>Đăng xuất</t>
  </si>
  <si>
    <t>Click Đăng xuất ở sidebar</t>
  </si>
  <si>
    <t>User đã đăng nhập</t>
  </si>
  <si>
    <t>1. Click Đăng xuất</t>
  </si>
  <si>
    <t>Hệ thống đăng xuất user, xóa session và điều hướng về trang đăng nhập/trang chủ</t>
  </si>
  <si>
    <t>ACC_089</t>
  </si>
  <si>
    <t>Hủy đăng xuất nếu có popup xác nhận</t>
  </si>
  <si>
    <t>Click Đăng xuất nếu hệ thống có popup</t>
  </si>
  <si>
    <t>1. Click Đăng xuất2. Chọn Hủy</t>
  </si>
  <si>
    <t>User vẫn ở màn tài khoản, session còn hiệu lực</t>
  </si>
  <si>
    <t>ACC_090</t>
  </si>
  <si>
    <t>Session bị xóa sau đăng xuất</t>
  </si>
  <si>
    <t>User vừa đăng xuất</t>
  </si>
  <si>
    <t>1. Click Đăng xuất2. Truy cập lại trang tài khoản</t>
  </si>
  <si>
    <t>User bị yêu cầu đăng nhập lại, không truy cập được màn tài khoản bằng session cũ</t>
  </si>
  <si>
    <t>ACC_068</t>
  </si>
  <si>
    <t>Nút Xóa tài khoản hiển thị đúng</t>
  </si>
  <si>
    <t>Nút Xóa tài khoản hiển thị màu cam/viền cam đúng thiết kế</t>
  </si>
  <si>
    <t>ACC_091</t>
  </si>
  <si>
    <t>Copy username</t>
  </si>
  <si>
    <t>Copy username từ sidebar</t>
  </si>
  <si>
    <t>Sidebar hiển thị username và icon copy</t>
  </si>
  <si>
    <t>1. Click icon copy cạnh username</t>
  </si>
  <si>
    <t>Username được copy vào clipboard, hiển thị toast nếu có</t>
  </si>
  <si>
    <t>ACC_092</t>
  </si>
  <si>
    <t>Clipboard bị chặn khi copy username</t>
  </si>
  <si>
    <t>Browser chặn clipboard</t>
  </si>
  <si>
    <t>1. Click copy username</t>
  </si>
  <si>
    <t>Hiển thị thông báo copy thất bại hoặc fallback phù hợp</t>
  </si>
  <si>
    <t>ACC_093</t>
  </si>
  <si>
    <t>UI/UX</t>
  </si>
  <si>
    <t>Form không vỡ layout khi dữ liệu dài</t>
  </si>
  <si>
    <t>User có họ tên/link/giới thiệu dài</t>
  </si>
  <si>
    <t>Dữ liệu dài</t>
  </si>
  <si>
    <t>Layout không vỡ, các text dài được wrap/truncate theo thiết kế</t>
  </si>
  <si>
    <t>ACC_094</t>
  </si>
  <si>
    <t>Trạng thái disabled field rõ ràng</t>
  </si>
  <si>
    <t>User mở tab Thông tin cá nhân</t>
  </si>
  <si>
    <t>1. Quan sát Email, Tên tài khoản, Mã giới thiệu</t>
  </si>
  <si>
    <t>Các field readonly có style disabled rõ ràng, user phân biệt được field không chỉnh sửa</t>
  </si>
  <si>
    <t>ACC_095</t>
  </si>
  <si>
    <t>Tab active đúng khi chuyển qua lại</t>
  </si>
  <si>
    <t>User đang ở trang tài khoản</t>
  </si>
  <si>
    <t>1. Click Đổi mật khẩu2. Click lại Thông tin cá nhân</t>
  </si>
  <si>
    <t>Tab được active đúng, dữ liệu Thông tin cá nhân không bị mất</t>
  </si>
  <si>
    <t>ACC_096</t>
  </si>
  <si>
    <t>Overlay popup xóa tài khoản che nền đúng</t>
  </si>
  <si>
    <t>1. Quan sát overlay nền</t>
  </si>
  <si>
    <t>Nền phía sau bị làm mờ, popup nổi bật, user vẫn đọc được nội dung popup</t>
  </si>
  <si>
    <t>ACC_097</t>
  </si>
  <si>
    <t>Không thao tác được form nền khi popup xóa đang mở</t>
  </si>
  <si>
    <t>1. Thử click/sửa field phía sau popup</t>
  </si>
  <si>
    <t>Không thao tác được form nền cho đến khi đóng popup</t>
  </si>
  <si>
    <t>ACC_098</t>
  </si>
  <si>
    <t>Responsive</t>
  </si>
  <si>
    <t>Màn Tổng quan tài khoản trên tablet/mobile</t>
  </si>
  <si>
    <t>Viewport nhỏ</t>
  </si>
  <si>
    <t>1. Mở trang tài khoản trên màn nhỏ</t>
  </si>
  <si>
    <t>375px hoặc tablet</t>
  </si>
  <si>
    <t>Layout responsive, sidebar/form không tràn, vẫn thao tác được</t>
  </si>
  <si>
    <t>ACC_099</t>
  </si>
  <si>
    <t>Popup Xóa tài khoản trên màn nhỏ</t>
  </si>
  <si>
    <t>Viewport nhỏ, popup mở</t>
  </si>
  <si>
    <t>375px</t>
  </si>
  <si>
    <t>Popup nằm trong viewport, không bị cắt nút, có thể nhập email và thao tác</t>
  </si>
  <si>
    <t>ACC_100</t>
  </si>
  <si>
    <t>Accessibility</t>
  </si>
  <si>
    <t>Điều hướng form bằng bàn phím</t>
  </si>
  <si>
    <t>1. Dùng Tab di chuyển qua các control</t>
  </si>
  <si>
    <t>Keyboard only</t>
  </si>
  <si>
    <t>Focus đi đúng thứ tự, bỏ qua hoặc focus hợp lý vào field disabled, nút thao tác dùng được bằng Enter</t>
  </si>
  <si>
    <t>ACC_101</t>
  </si>
  <si>
    <t>Popup Xóa tài khoản giữ focus trong modal</t>
  </si>
  <si>
    <t>1. Dùng Tab nhiều lần</t>
  </si>
  <si>
    <t>Focus nằm trong popup, không nhảy ra nền phía sau</t>
  </si>
  <si>
    <t>ACC_102</t>
  </si>
  <si>
    <t>Icon copy có thể thao tác bằng bàn phím</t>
  </si>
  <si>
    <t>Màn tài khoản đang mở</t>
  </si>
  <si>
    <t>1. Tab tới icon copy2. Nhấn Enter/Space</t>
  </si>
  <si>
    <t>Icon copy</t>
  </si>
  <si>
    <t>Thực hiện copy hoặc có label accessible rõ ràng</t>
  </si>
  <si>
    <t>ACC_103</t>
  </si>
  <si>
    <t>Security</t>
  </si>
  <si>
    <t>Không gửi field readonly bị sửa qua devtool</t>
  </si>
  <si>
    <t>User dùng devtool sửa Email/Username/Mã giới thiệu trên client</t>
  </si>
  <si>
    <t>1. Sửa DOM field readonly2. Click Lưu thay đổi</t>
  </si>
  <si>
    <t>Email/username/refCode bị sửa client</t>
  </si>
  <si>
    <t>Backend không cập nhật các field readonly, chỉ nhận field được phép chỉnh sửa</t>
  </si>
  <si>
    <t>ACC_104</t>
  </si>
  <si>
    <t>Request lưu profile phải có token</t>
  </si>
  <si>
    <t>User gửi request lưu không có token</t>
  </si>
  <si>
    <t>1. Gửi request update profile không Authorization</t>
  </si>
  <si>
    <t>Missing token</t>
  </si>
  <si>
    <t>Backend từ chối request, không cập nhật dữ liệu</t>
  </si>
  <si>
    <t>ACC_105</t>
  </si>
  <si>
    <t>User không xem/sửa được profile user khác</t>
  </si>
  <si>
    <t>Có User A và User B</t>
  </si>
  <si>
    <t>1. User A cố truy cập profileId của User B</t>
  </si>
  <si>
    <t>profileId User B</t>
  </si>
  <si>
    <t>Hệ thống từ chối 401/403 hoặc chỉ trả profile của user đang đăng nhập</t>
  </si>
  <si>
    <t>ACC_106</t>
  </si>
  <si>
    <t>XSS trong họ tên không được thực thi</t>
  </si>
  <si>
    <t>User nhập script vào Họ và tên nếu field cho nhập</t>
  </si>
  <si>
    <t>1. Nhập script2. Lưu3. Reload màn</t>
  </si>
  <si>
    <t>&lt;img src=x onerror=alert(1)&gt;</t>
  </si>
  <si>
    <t>ACC_107</t>
  </si>
  <si>
    <t>Performance</t>
  </si>
  <si>
    <t>Trang Tổng quan tài khoản tải nhanh</t>
  </si>
  <si>
    <t>Mạng bình thường</t>
  </si>
  <si>
    <t>1. Mở trang tài khoản2. Đo thời gian ready</t>
  </si>
  <si>
    <t>Mạng 10 Mbps</t>
  </si>
  <si>
    <t>Trang tải và có thể thao tác trong thời gian chấp nhận được theo NFR dự án</t>
  </si>
  <si>
    <t>ACC_108</t>
  </si>
  <si>
    <t>Lưu thay đổi phản hồi ổn định</t>
  </si>
  <si>
    <t>User sửa dữ liệu hợp lệ</t>
  </si>
  <si>
    <t>1. Click Lưu thay đổi2. Đo thời gian phản hồi</t>
  </si>
  <si>
    <t>Hệ thống phản hồi trong thời gian chấp nhận được, không treo UI</t>
  </si>
  <si>
    <t>ACC_109</t>
  </si>
  <si>
    <t>Cross-browser</t>
  </si>
  <si>
    <t>Màn Tổng quan tài khoản hoạt động trên Chrome/Edge/Firefox/Safari</t>
  </si>
  <si>
    <t>Có tài khoản test</t>
  </si>
  <si>
    <t>1. Mở màn trên từng trình duyệt2. Sửa profile3. Mở popup xóa</t>
  </si>
  <si>
    <t>Các browser hỗ trợ</t>
  </si>
  <si>
    <t>UI và chức năng chính hoạt động nhất quán trên các trình duyệt hỗ trợ</t>
  </si>
  <si>
    <t>ACC_110</t>
  </si>
  <si>
    <t>Audit/Logging</t>
  </si>
  <si>
    <t>Ghi log cập nhật hồ sơ</t>
  </si>
  <si>
    <t>User cập nhật thông tin cá nhân thành công</t>
  </si>
  <si>
    <t>1. Lưu thay đổi2. Kiểm tra log hệ thống</t>
  </si>
  <si>
    <t>UserId, action update_profile</t>
  </si>
  <si>
    <t>Log ghi nhận user, action, timestamp, IP nếu hệ thống yêu cầu audit</t>
  </si>
  <si>
    <t>ACC_111</t>
  </si>
  <si>
    <t>Ghi log yêu cầu xóa tài khoản</t>
  </si>
  <si>
    <t>User thực hiện xóa tài khoản</t>
  </si>
  <si>
    <t>1. Xác nhận xóa tài khoản2. Kiểm tra log</t>
  </si>
  <si>
    <t>UserId, action delete_account</t>
  </si>
  <si>
    <t>Log ghi nhận hành động xóa tài khoản phục vụ truy vết</t>
  </si>
  <si>
    <t>ACC_112</t>
  </si>
  <si>
    <t>Data consistency</t>
  </si>
  <si>
    <t>Mở màn tài khoản trên hai tab và lưu ở một tab</t>
  </si>
  <si>
    <t>User mở 2 tab tài khoản</t>
  </si>
  <si>
    <t>1. Tab 1 sửa và lưu2. Tab 2 reload</t>
  </si>
  <si>
    <t>Dữ liệu mới</t>
  </si>
  <si>
    <t>Tab 2 sau reload hiển thị dữ liệu mới nhất</t>
  </si>
  <si>
    <t>ACC_113</t>
  </si>
  <si>
    <t>Hai tab cùng sửa profile</t>
  </si>
  <si>
    <t>1. Tab 1 sửa họ tên2. Tab 2 sửa số điện thoại3. Lưu lần lượt</t>
  </si>
  <si>
    <t>2 thay đổi khác nhau</t>
  </si>
  <si>
    <t>Hệ thống xử lý theo rule last-write-wins hoặc merge, không mất dữ liệu ngoài ý muốn</t>
  </si>
  <si>
    <t>ACC_114</t>
  </si>
  <si>
    <t>Reload khi popup xóa tài khoản đang mở</t>
  </si>
  <si>
    <t>Popup xóa đang mở</t>
  </si>
  <si>
    <t>1. Reload trình duyệt</t>
  </si>
  <si>
    <t>Popup đóng sau reload, tài khoản chưa bị xóa nếu chưa xác nhận</t>
  </si>
  <si>
    <t>ACC_115</t>
  </si>
  <si>
    <t>Mất mạng khi đang chỉnh sửa profile</t>
  </si>
  <si>
    <t>User đang nhập form</t>
  </si>
  <si>
    <t>1. Ngắt mạng2. Click Lưu thay đổi</t>
  </si>
  <si>
    <t>Offline</t>
  </si>
  <si>
    <t>Hiển thị lỗi kết nối, dữ liệu đang nhập không bị xóa khỏi form</t>
  </si>
  <si>
    <t>ACC_116</t>
  </si>
  <si>
    <t>Mất mạng khi đang xóa tài khoản</t>
  </si>
  <si>
    <t>Popup mở, email đúng</t>
  </si>
  <si>
    <t>1. Ngắt mạng2. Click Xóa tài khoản</t>
  </si>
  <si>
    <t>Hiển thị lỗi kết nối, tài khoản chưa bị xóa</t>
  </si>
  <si>
    <t>ACC_117</t>
  </si>
  <si>
    <t>Button Xóa tài khoản không bị nhầm với Lưu thay đổi</t>
  </si>
  <si>
    <t>User đang ở cuối form</t>
  </si>
  <si>
    <t>1. Quan sát hai button</t>
  </si>
  <si>
    <t>Nút chính Lưu thay đổi và nút nguy hiểm Xóa tài khoản phân biệt rõ màu sắc/ý nghĩa</t>
  </si>
  <si>
    <t>ACC_118</t>
  </si>
  <si>
    <t>Nội dung cảnh báo xóa tài khoản dễ hiểu</t>
  </si>
  <si>
    <t>Popup xóa tài khoản đang mở</t>
  </si>
  <si>
    <t>1. Đọc nội dung cảnh báo</t>
  </si>
  <si>
    <t>Nội dung cảnh báo rõ hành động không thể hoàn tác và dữ liệu sẽ bị xóa vĩnh viễn</t>
  </si>
  <si>
    <t>ACC_119</t>
  </si>
  <si>
    <t>Placeholder giới thiệu hiển thị khi trống</t>
  </si>
  <si>
    <t>Field Giới thiệu chưa có dữ liệu</t>
  </si>
  <si>
    <t>1. Mở tab Thông tin cá nhân</t>
  </si>
  <si>
    <t>Giới thiệu null</t>
  </si>
  <si>
    <t>Hiển thị placeholder “Giới thiệu về bản thân....” theo ảnh</t>
  </si>
  <si>
    <t>ACC_120</t>
  </si>
  <si>
    <t>Icon lịch không che text ngày sinh</t>
  </si>
  <si>
    <t>User có ngày sinh/field focus</t>
  </si>
  <si>
    <t>1. Quan sát trường Ngày sinh2. Focus field</t>
  </si>
  <si>
    <t>Icon lịch nằm đúng vị trí, không che nội dung ngày sinh</t>
  </si>
  <si>
    <t>ACC_121</t>
  </si>
  <si>
    <t>Nút Xóa tài khoản enable khi nhập email</t>
  </si>
  <si>
    <t>Popup Xóa tài khoản đang mở, ô Email đang trống</t>
  </si>
  <si>
    <t>1. Nhập bất kỳ ký tự vào ô Email2. Quan sát nút Xóa tài khoản</t>
  </si>
  <si>
    <t>a</t>
  </si>
  <si>
    <t>Nút Xóa tài khoản chuyển sang trạng thái enable sau khi ô Email có dữ liệu</t>
  </si>
  <si>
    <t>ACC_122</t>
  </si>
  <si>
    <t>Xóa email đã nhập thì nút Xóa tài khoản disabled lại</t>
  </si>
  <si>
    <t>Popup Xóa tài khoản đang mở, ô Email đã có dữ liệu</t>
  </si>
  <si>
    <t>1. Xóa toàn bộ nội dung trong ô Email2. Quan sát nút Xóa tài khoản</t>
  </si>
  <si>
    <t>Nút Xóa tài khoản chuyển về disabled khi ô Email không còn dữ liệu</t>
  </si>
  <si>
    <t>ACC_123</t>
  </si>
  <si>
    <t>Không yêu cầu OTP khi xóa tài khoản</t>
  </si>
  <si>
    <t>1. Nhập email đúng2. Click Xóa tài khoản</t>
  </si>
  <si>
    <t>Hệ thống xử lý xóa tài khoản trực tiếp sau khi xác nhận email, không hiển thị bước nhập OTP</t>
  </si>
  <si>
    <t>ACC_124</t>
  </si>
  <si>
    <t>Không yêu cầu mật khẩu khi xóa tài khoản</t>
  </si>
  <si>
    <t>Hệ thống không yêu cầu nhập mật khẩu; chỉ cần email hợp lệ theo màn hiện tại</t>
  </si>
  <si>
    <t>ACC_125</t>
  </si>
  <si>
    <t>Lưu hồ sơ khi chỉ để trống ngày sinh và số điện thoại</t>
  </si>
  <si>
    <t>User đang ở tab Thông tin cá nhân, Họ và tên có dữ liệu</t>
  </si>
  <si>
    <t>1. Xóa Ngày sinh2. Xóa Số điện thoại3. Click Lưu thay đổi</t>
  </si>
  <si>
    <t>Hệ thống lưu thành công vì Ngày sinh và SĐT không bắt buộc</t>
  </si>
  <si>
    <t>ACC_126</t>
  </si>
  <si>
    <t>Không lưu hồ sơ khi Họ và tên trống dù các field khác hợp lệ</t>
  </si>
  <si>
    <t>1. Xóa Họ và tên2. Nhập Ngày sinh/SĐT hợp lệ hoặc để trống3. Click Lưu thay đổi</t>
  </si>
  <si>
    <t>Hệ thống không cho lưu, hiển thị lỗi bắt buộc tại trường Họ và tên</t>
  </si>
  <si>
    <t>UI/UX - Tổng quan tài khoản</t>
  </si>
  <si>
    <t>Kiểm tra user truy cập màn Tổng quan tài khoản từ Dashboard</t>
  </si>
  <si>
    <t xml:space="preserve">User đã đăng ký thành công, đăng nhập thành công và đang ở Menu Tài khoản </t>
  </si>
  <si>
    <t>1. Tại Menu Tài khoản, click "Quản lý tài khoản
2. Quan sát màn hình hiển thị</t>
  </si>
  <si>
    <t>user50/Enao@2099</t>
  </si>
  <si>
    <t>Hiển thị màn “Tổng quan tài khoản”; tab “Thông tin cá nhân” active; sidebar active và Tab Đổi mật khẩu</t>
  </si>
  <si>
    <t>Pass</t>
  </si>
  <si>
    <t>Happy case</t>
  </si>
  <si>
    <t>UI/UX - Sidebar</t>
  </si>
  <si>
    <t>Kiểm tra thông tin user ở sidebar</t>
  </si>
  <si>
    <t>User đã vào màn Tổng quan tài khoản</t>
  </si>
  <si>
    <r>
      <t xml:space="preserve">Họ tên: </t>
    </r>
    <r>
      <rPr>
        <sz val="10"/>
        <color rgb="FF000000"/>
        <rFont val="Arial Unicode MS"/>
      </rPr>
      <t>thyyjj</t>
    </r>
    <r>
      <rPr>
        <sz val="11"/>
        <color rgb="FF000000"/>
        <rFont val="Arial"/>
        <family val="2"/>
      </rPr>
      <t xml:space="preserve">, Username: </t>
    </r>
    <r>
      <rPr>
        <sz val="10"/>
        <color rgb="FF000000"/>
        <rFont val="Arial Unicode MS"/>
      </rPr>
      <t>user665</t>
    </r>
  </si>
  <si>
    <t>Hệ thống hiển thị đúng như design:
- Avatar chữ cái đầu hiển thị đúng
- Textbox họ và tên : hiển thị đúng dữ liệu đã đăng ký, enable
- Textbox Ngày sinh : placehoalder: Chọn ngày sinh, cho phép chọn
- Textbox Email : hiển thị đúng dữ liệu đã đăng ký, Disable
- Textbox SDT: hiển thị đúng dữ liệu đã đăng ký ( nếu đã đăng ký), chưa dki để placehoader Nhập SDT, enable
- Textbox Tên tài khoản: hiển thị đúng dữ liệu đã đăng ký, Disable
- Textbox Mã giới thiệu: hệ thống tự sinh ãm, Disable
- Textbox Giới thiệu: Placeholder Giới thiệu về bản thân....
-Link REF: enable, cho sao chép
- Nút Lưu thay đổi: Disable
- Nút Xóa tài khoản: Enable</t>
  </si>
  <si>
    <t>ACC_003</t>
  </si>
  <si>
    <t>Chức năng - Hiển thị dữ liệu đăng ký</t>
  </si>
  <si>
    <t>Kiểm tra dữ liệu sau đăng ký được hiển thị đúng</t>
  </si>
  <si>
    <t>User đã đăng ký thành công</t>
  </si>
  <si>
    <t>Vào Dashboard → click “Tổng quan tài khoản”</t>
  </si>
  <si>
    <r>
      <t xml:space="preserve">Họ tên: </t>
    </r>
    <r>
      <rPr>
        <sz val="10"/>
        <color rgb="FF000000"/>
        <rFont val="Arial Unicode MS"/>
      </rPr>
      <t>thyyjj</t>
    </r>
    <r>
      <rPr>
        <sz val="11"/>
        <color rgb="FF000000"/>
        <rFont val="Arial"/>
        <family val="2"/>
      </rPr>
      <t xml:space="preserve">; Email: </t>
    </r>
    <r>
      <rPr>
        <sz val="10"/>
        <color rgb="FF000000"/>
        <rFont val="Arial Unicode MS"/>
      </rPr>
      <t>thyyjj123@gmail.com</t>
    </r>
    <r>
      <rPr>
        <sz val="11"/>
        <color rgb="FF000000"/>
        <rFont val="Arial"/>
        <family val="2"/>
      </rPr>
      <t xml:space="preserve">; Username: </t>
    </r>
    <r>
      <rPr>
        <sz val="10"/>
        <color rgb="FF000000"/>
        <rFont val="Arial Unicode MS"/>
      </rPr>
      <t>user665</t>
    </r>
  </si>
  <si>
    <t>Họ và tên hiển thị đúng tên đã đăng ký; Email hiển thị đúng email đăng ký; Tên tài khoản hiển thị đúng username đăng ký; Link REF: hệ thống sinh, SDT  hiển thị đúng số đã đăng ký( nếu đã dki)</t>
  </si>
  <si>
    <t>ACC_004</t>
  </si>
  <si>
    <t>Chức năng - Field không cho chỉnh sửa</t>
  </si>
  <si>
    <t>Kiểm tra Email, Tên tài khoản, Mã giới thiệu không cho sửa</t>
  </si>
  <si>
    <t>Click vào từng field Email, Tên tài khoản, Mã giới thiệu và thử nhập dữ liệu</t>
  </si>
  <si>
    <r>
      <t xml:space="preserve">Email: </t>
    </r>
    <r>
      <rPr>
        <sz val="10"/>
        <color rgb="FF000000"/>
        <rFont val="Arial Unicode MS"/>
      </rPr>
      <t>thyyjj123@gmail.com</t>
    </r>
    <r>
      <rPr>
        <sz val="11"/>
        <color rgb="FF000000"/>
        <rFont val="Arial"/>
        <family val="2"/>
      </rPr>
      <t xml:space="preserve">; Username: </t>
    </r>
    <r>
      <rPr>
        <sz val="10"/>
        <color rgb="FF000000"/>
        <rFont val="Arial Unicode MS"/>
      </rPr>
      <t>user665</t>
    </r>
    <r>
      <rPr>
        <sz val="11"/>
        <color rgb="FF000000"/>
        <rFont val="Arial"/>
        <family val="2"/>
      </rPr>
      <t xml:space="preserve">; Ref: </t>
    </r>
    <r>
      <rPr>
        <sz val="10"/>
        <color rgb="FF000000"/>
        <rFont val="Arial Unicode MS"/>
      </rPr>
      <t>REF437985</t>
    </r>
  </si>
  <si>
    <t>Không cho nhập/sửa 3 field này; dữ liệu vẫn giữ nguyên sau thao tác</t>
  </si>
  <si>
    <t>Expectation case</t>
  </si>
  <si>
    <t>Chức năng - Mã giới thiệu tự sinh</t>
  </si>
  <si>
    <t>Kiểm tra mã giới thiệu hệ thống tự sinh</t>
  </si>
  <si>
    <t>Vào màn Tổng quan tài khoản, quan sát field Mã giới thiệu và link giới thiệu</t>
  </si>
  <si>
    <t>http://192.168.1.95:13237/register?refCode=REF362046</t>
  </si>
  <si>
    <r>
      <t xml:space="preserve">Field Mã giới thiệu hiển thị đúng mã hệ thống tự sinh; link giới thiệu có chứa đúng </t>
    </r>
    <r>
      <rPr>
        <sz val="10"/>
        <color rgb="FF000000"/>
        <rFont val="Arial Unicode MS"/>
      </rPr>
      <t>refCode=REF362046</t>
    </r>
  </si>
  <si>
    <t>Chức năng - Validate họ tên bắt buộc</t>
  </si>
  <si>
    <t>Kiểm tra không cho lưu khi bỏ trống họ tên</t>
  </si>
  <si>
    <t>1. Xoá trắng field Họ và tên
2. Click “Lưu thay đổi”</t>
  </si>
  <si>
    <t>Họ tên: rỗng</t>
  </si>
  <si>
    <t>Hệ thống show inline "Họ tên không được để trống" tại trường Họ và tên</t>
  </si>
  <si>
    <t>Exception case</t>
  </si>
  <si>
    <t>Chức năng - Validate họ tên chứa số</t>
  </si>
  <si>
    <t>Kiểm tra họ tên không cho phép nhập số</t>
  </si>
  <si>
    <t>1. Nhập họ tên chứa số 2. Click “Lưu thay đổi”</t>
  </si>
  <si>
    <t>Nguyen Van A123</t>
  </si>
  <si>
    <t>Hệ thống hiển thị popup/thông báo lỗi định dạng; không lưu dữ liệu</t>
  </si>
  <si>
    <t>Chức năng - Validate họ tên chứa ký tự đặc biệt</t>
  </si>
  <si>
    <t>Kiểm tra họ tên không cho phép ký tự đặc biệt</t>
  </si>
  <si>
    <t>1. Nhập họ tên có ký tự đặc biệt 2. Click “Lưu thay đổi”</t>
  </si>
  <si>
    <t>Nguyen @ Van A</t>
  </si>
  <si>
    <t>Kiểm tra fillbox 'Họ và tên' chỉ nhận chữ hoa và chữ thường</t>
  </si>
  <si>
    <t>Xác minh rằng fillbox 'Họ và tên' chỉ chấp nhận chữ hoa và chữ thường, không chấp nhận số và ký tự đặc biệt.</t>
  </si>
  <si>
    <t>1. Nhập Data Test
2. Click “Lưu thay đổi”</t>
  </si>
  <si>
    <t>Vũ Thanh Thúyy
NGUYỄN VĂN BA
nguyen thi thanh</t>
  </si>
  <si>
    <t>Fillbox 'Họ và tên' chỉ chấp nhận chữ hoa và chữ thường</t>
  </si>
  <si>
    <t>Kiểm tra nhập textbox Họ và tên với độ dài &lt;70 ký tự</t>
  </si>
  <si>
    <t>Kiểm tra nhập textbox Họ và tên với độ dài &lt; minlength (&lt;70 ký tự)</t>
  </si>
  <si>
    <t>NTTT</t>
  </si>
  <si>
    <t>Hệ thống cho phép nhập dữ liệu &lt; 70 ký tự</t>
  </si>
  <si>
    <t>Kiểm tra nhập textbox Họ và tên với độ dài &lt; maxlength (= 69 ký tự)</t>
  </si>
  <si>
    <t>Kiểm tra nhập textbox Họ và tên với độ dài &lt; minlength (= 69 ký tự)</t>
  </si>
  <si>
    <t>Nguyenthiabcdefghijklmnopqrstuvwxyzabcdefghijklmnopqrstuvwxyzabcfjjee</t>
  </si>
  <si>
    <t>Kiểm tra nhập textbox Họ và tên với độ dài = maxlength (= 70 ký tự)</t>
  </si>
  <si>
    <t>Kiểm tra nhập textbox Họ và tên với độ dài = maxlength (=70 ký tự)</t>
  </si>
  <si>
    <t>Nguyenthiabcdefghijklmnopqrstuvwxyzabcdefghijklmnopqrstuvwxyzabcfjjeer</t>
  </si>
  <si>
    <t xml:space="preserve">Hệ thống chấp nhận Họ và Tên có độ dài 70 ký tự </t>
  </si>
  <si>
    <t xml:space="preserve">Kiểm tra nhập textbox Họ và tên với độ dài &gt; maxlength </t>
  </si>
  <si>
    <t>Kiểm tra nhập textbox Họ và tên với độ dài &gt; maxlength (80 ký tự)</t>
  </si>
  <si>
    <t>Nguyenthiabcdefghijklmnopqrstuvwxyzabcdefghijklmnopqrstuvwxyzabcfjjfeadhvdfwwwwe</t>
  </si>
  <si>
    <t>Hệ thống hiển thị thông báo "Có lỗi xảy ra, vui lòng thử lại"</t>
  </si>
  <si>
    <t>Kiểm tra nhập textbox Họ và tên với độ dài &gt; maxlength ( 71 ký tự)</t>
  </si>
  <si>
    <t>Kiểm tra nhập textbox Họ và tên với độ dài &gt; maxlength (71 ký tự)</t>
  </si>
  <si>
    <t>Hệ thống không chấp nhận</t>
  </si>
  <si>
    <t>Kiểm tra nhập textbox Họ và tên với độ dài quá lớn</t>
  </si>
  <si>
    <t>ACC_016</t>
  </si>
  <si>
    <t>Kiểm tra Họ và tên khi nhập full  chuỗi space</t>
  </si>
  <si>
    <t>"               "</t>
  </si>
  <si>
    <t>Hệ thống tự động trim dữ liệu.
-  Hệ thống hiển thị thông báo "Có lỗi xảy ra, vui lòng thử lại", k lưu dữ liệu</t>
  </si>
  <si>
    <t>Kiểm tra khi nhập data vào Textbox Họ và tên chứa ký tự chữ số</t>
  </si>
  <si>
    <t>Nguyen Van A1235</t>
  </si>
  <si>
    <t>Hệ thống k cho phép.Hiển thị lỗi:
- Vui lòng nhập đúng định dạng</t>
  </si>
  <si>
    <t>Kiểm tra khi nhập data vào Textbox Họ và tên chứa ký tự đặc biệt</t>
  </si>
  <si>
    <t>Nguyen @Van A</t>
  </si>
  <si>
    <t>Kiểm tra khi nhập data vào Textbox Họ và tên chứa ký tự đặc biệt và chữ số</t>
  </si>
  <si>
    <t>Nguyen @Van A 123</t>
  </si>
  <si>
    <t xml:space="preserve">Hệ thống k cho phép.Hiển thị lỗi:
- Vui lòng nhập đúng định dạng </t>
  </si>
  <si>
    <t>Kiểm tra Họ và tên khi nhập dữ liệu hợp lệ có chứa dấu cách ở đầu cuối</t>
  </si>
  <si>
    <t>Kiểm tra Họ và tên khi nhập dữ liệu có chứa dấu cách ở đầu cuối</t>
  </si>
  <si>
    <t>" Trần Thị Huyền"
"Trần Văn B "
" Đặng Thị Minh Anh "</t>
  </si>
  <si>
    <t>Hệ thống tự động trim dữ liệu.
-  Hệ thống chấp nhận tên hợp lệ</t>
  </si>
  <si>
    <t>Hệ thống lưu thành công, nhưng chưa trim khoảng trắng</t>
  </si>
  <si>
    <t>Chức năng - Số điện thoại trống</t>
  </si>
  <si>
    <t>Kiểm tra SĐT khi user chưa nhập lúc đăng ký</t>
  </si>
  <si>
    <t>User đăng ký không nhập SĐT</t>
  </si>
  <si>
    <t>Vào màn Tổng quan tài khoản</t>
  </si>
  <si>
    <t>SĐT: rỗng</t>
  </si>
  <si>
    <t>K hiển thị dữ liệu, cho phép nhập</t>
  </si>
  <si>
    <t>Chức năng - Số điện thoại có dữ liệu</t>
  </si>
  <si>
    <t>Kiểm tra SĐT khi user đã nhập lúc đăng ký</t>
  </si>
  <si>
    <t>User đăng ký có SĐT hợp lệ</t>
  </si>
  <si>
    <r>
      <t xml:space="preserve">Field Số điện thoại hiển thị đúng </t>
    </r>
    <r>
      <rPr>
        <sz val="10"/>
        <color rgb="FF000000"/>
        <rFont val="Arial Unicode MS"/>
      </rPr>
      <t>0987654321</t>
    </r>
    <r>
      <rPr>
        <sz val="11"/>
        <color rgb="FF000000"/>
        <rFont val="Arial"/>
        <family val="2"/>
      </rPr>
      <t>; cho phép chỉnh sửa</t>
    </r>
  </si>
  <si>
    <t>Chức năng - SĐT hợp lệ</t>
  </si>
  <si>
    <t>Kiểm tra lưu SĐT hợp lệ</t>
  </si>
  <si>
    <t>1. Nhập/Coppy-paste SĐT hợp lệ
2. Click “Lưu thay đổi”</t>
  </si>
  <si>
    <r>
      <t>0376543210</t>
    </r>
    <r>
      <rPr>
        <sz val="11"/>
        <color rgb="FF000000"/>
        <rFont val="Arial"/>
        <family val="2"/>
      </rPr>
      <t xml:space="preserve">, </t>
    </r>
    <r>
      <rPr>
        <sz val="10"/>
        <color rgb="FF000000"/>
        <rFont val="Arial Unicode MS"/>
      </rPr>
      <t>0523456789</t>
    </r>
    <r>
      <rPr>
        <sz val="11"/>
        <color rgb="FF000000"/>
        <rFont val="Arial"/>
        <family val="2"/>
      </rPr>
      <t xml:space="preserve">, </t>
    </r>
    <r>
      <rPr>
        <sz val="10"/>
        <color rgb="FF000000"/>
        <rFont val="Arial Unicode MS"/>
      </rPr>
      <t>0787654321</t>
    </r>
    <r>
      <rPr>
        <sz val="11"/>
        <color rgb="FF000000"/>
        <rFont val="Arial"/>
        <family val="2"/>
      </rPr>
      <t xml:space="preserve">, </t>
    </r>
    <r>
      <rPr>
        <sz val="10"/>
        <color rgb="FF000000"/>
        <rFont val="Arial Unicode MS"/>
      </rPr>
      <t>0876543210</t>
    </r>
    <r>
      <rPr>
        <sz val="11"/>
        <color rgb="FF000000"/>
        <rFont val="Arial"/>
        <family val="2"/>
      </rPr>
      <t xml:space="preserve">, </t>
    </r>
    <r>
      <rPr>
        <sz val="10"/>
        <color rgb="FF000000"/>
        <rFont val="Arial Unicode MS"/>
      </rPr>
      <t>0987654321</t>
    </r>
  </si>
  <si>
    <t>Cho phép lưu SĐT đúng 10 chữ số và bắt đầu bằng 03, 05, 07, 08, 09; hiển thị popup lưu thành công</t>
  </si>
  <si>
    <t>Chức năng - Validate SĐT chứa chữ</t>
  </si>
  <si>
    <t>Kiểm tra lỗi khi SĐT chứa chữ</t>
  </si>
  <si>
    <t>1. Nhập SĐT có chữ 2. Click “Lưu thay đổi”</t>
  </si>
  <si>
    <t>09abc12345</t>
  </si>
  <si>
    <t>Hệ thống show inline “SĐT không hợp lệ”; không lưu dữ liệu</t>
  </si>
  <si>
    <t>Chức năng - Validate SĐT chứa ký tự đặc biệt</t>
  </si>
  <si>
    <t>Kiểm tra lỗi khi SĐT chứa ký tự đặc biệt</t>
  </si>
  <si>
    <t>1. Nhập SĐT có ký tự đặc biệt 2. Click “Lưu thay đổi”</t>
  </si>
  <si>
    <t>0987@54321</t>
  </si>
  <si>
    <t>Kiểm tra  Bỏ trống SĐT ( Trường không bắt buộc)</t>
  </si>
  <si>
    <t>Kiểm tra bỏ trống trường không bắt buộc</t>
  </si>
  <si>
    <t>Đang ở màn Hoàn thiện hồ sơ</t>
  </si>
  <si>
    <t>Hệ thống  cho phép bỏ trống trường SDT</t>
  </si>
  <si>
    <t>ACC_027</t>
  </si>
  <si>
    <t xml:space="preserve">Kiểm tra  khi nhập Textbox SĐT là chuỗi full chữ cái </t>
  </si>
  <si>
    <t xml:space="preserve">Kiểm tra hệ thống từ chối SDT là chuỗi full chữ cái </t>
  </si>
  <si>
    <t>Khongchinsaumot</t>
  </si>
  <si>
    <t>Hệ thống show inline:
"Số điện thoại k hợp lệ", k lưu dữ  liệu</t>
  </si>
  <si>
    <t>Kiểm tra  khi nhập Textbox SĐT là chuỗi full KTDB</t>
  </si>
  <si>
    <t>Kiểm tra hệ thống từ chối SDT là chuỗi full KTDB</t>
  </si>
  <si>
    <t>%$$$$$$$$$</t>
  </si>
  <si>
    <t>Hệ thống show inline:
"Số điện thoại k hợp lệ"</t>
  </si>
  <si>
    <t>Kiểm tra  khi nhập Textbox SĐT &lt; 10 chữ số</t>
  </si>
  <si>
    <t>"09534</t>
  </si>
  <si>
    <t xml:space="preserve">Kiểm tra  khi nhập Textbox SĐT = 9 chữ số </t>
  </si>
  <si>
    <t>Kiểm tra  khi nhập Textbox SĐT =  9 chữ số</t>
  </si>
  <si>
    <t>"096474564"</t>
  </si>
  <si>
    <t>Kiểm tra  khi nhập Textbox SĐT &gt; 10 chữ số</t>
  </si>
  <si>
    <t>"096474568577"</t>
  </si>
  <si>
    <t>Kiểm tra  khi nhập Textbox SĐT= 11 chữ số</t>
  </si>
  <si>
    <t>"096474568099"</t>
  </si>
  <si>
    <t>Kiểm tra  khi nhập Textbox SĐT với giá trị quá lớn</t>
  </si>
  <si>
    <t>Kiểm tra  khi nhập Textbox SĐT= 1000 chữ số</t>
  </si>
  <si>
    <t>"0964745680999999999999999999999999999999999999999999999999999999"</t>
  </si>
  <si>
    <t>Kiểm tra nhập data có dấu chấm "." trong SDT</t>
  </si>
  <si>
    <t>"0912.345678</t>
  </si>
  <si>
    <t>Kiểm tra nhập data chứa dấu cách ở giữa SĐT</t>
  </si>
  <si>
    <t>"0912 345678</t>
  </si>
  <si>
    <t>Kiểm tra nhập data chứa dấu cách ở đầu/ cuối SĐT</t>
  </si>
  <si>
    <t>Kiểm tra nhập data chứa dấu cách ở đầu SĐT</t>
  </si>
  <si>
    <t>" 0912345679"
"0912345678 "
" 0912345678 "</t>
  </si>
  <si>
    <t>Hệ thống không tự trim để hợp lệ; phải chặn nhập hoặc hiển thị lỗi định dạng SĐT</t>
  </si>
  <si>
    <t>ACC_037</t>
  </si>
  <si>
    <t>Copy/Paste SĐT hợp lệ
chứa dấu cách</t>
  </si>
  <si>
    <t>" 0912345678"
"0912345678 "
" 0912345678 "</t>
  </si>
  <si>
    <t>Kiểm tra nhập số điện thoại  bắt đầu != 0</t>
  </si>
  <si>
    <t>Xác minh hệ thống không cho phép người dùng nhập số điện thoại không bắt đầu bằng 0 vào trường số điện thoại trên màn hình xác minh đăng ký.</t>
  </si>
  <si>
    <t>ACC_039</t>
  </si>
  <si>
    <t>Chức năng - SĐT k hợp lệ</t>
  </si>
  <si>
    <t>1. Nhập/Coppy-paste SĐT k hợp lệ
2. Click “Lưu thay đổi”</t>
  </si>
  <si>
    <r>
      <rPr>
        <sz val="10"/>
        <color rgb="FF000000"/>
        <rFont val="Arial Unicode MS"/>
      </rPr>
      <t>0076543210</t>
    </r>
    <r>
      <rPr>
        <sz val="11"/>
        <color rgb="FF000000"/>
        <rFont val="Arial"/>
      </rPr>
      <t xml:space="preserve">, </t>
    </r>
    <r>
      <rPr>
        <sz val="10"/>
        <color rgb="FF000000"/>
        <rFont val="Arial Unicode MS"/>
      </rPr>
      <t>0123456789</t>
    </r>
    <r>
      <rPr>
        <sz val="11"/>
        <color rgb="FF000000"/>
        <rFont val="Arial"/>
      </rPr>
      <t xml:space="preserve">, </t>
    </r>
    <r>
      <rPr>
        <sz val="10"/>
        <color rgb="FF000000"/>
        <rFont val="Arial Unicode MS"/>
      </rPr>
      <t>0287654321</t>
    </r>
    <r>
      <rPr>
        <sz val="11"/>
        <color rgb="FF000000"/>
        <rFont val="Arial"/>
      </rPr>
      <t xml:space="preserve">, </t>
    </r>
    <r>
      <rPr>
        <sz val="10"/>
        <color rgb="FF000000"/>
        <rFont val="Arial Unicode MS"/>
      </rPr>
      <t>0476543210</t>
    </r>
    <r>
      <rPr>
        <sz val="11"/>
        <color rgb="FF000000"/>
        <rFont val="Arial"/>
      </rPr>
      <t xml:space="preserve">, </t>
    </r>
    <r>
      <rPr>
        <sz val="10"/>
        <color rgb="FF000000"/>
        <rFont val="Arial Unicode MS"/>
      </rPr>
      <t>0687654321</t>
    </r>
  </si>
  <si>
    <t>Kiểm tra Coppy/paste + Nhập SĐT có mã quốc gia +84</t>
  </si>
  <si>
    <t>Kiểm tra Coppy/paste + Nhập  SĐT dạng có ngoặc mã vùng</t>
  </si>
  <si>
    <t>"(091)2345678</t>
  </si>
  <si>
    <t>Hiển thị lỗi “Số điện thoại không đúng định dạng”</t>
  </si>
  <si>
    <t>UI/UX - Date picker ngày sinh</t>
  </si>
  <si>
    <t>Kiểm tra ngày sinh chỉ chọn qua dropdown</t>
  </si>
  <si>
    <t>1. Click field Ngày sinh 2. Quan sát dropdown lịch</t>
  </si>
  <si>
    <t>N/A</t>
  </si>
  <si>
    <t>Hiển thị date picker/dropdown lịch; có chọn ngày, tháng, năm; không cho nhập tay trực tiếp</t>
  </si>
  <si>
    <t>Chức năng - Chọn ngày sinh</t>
  </si>
  <si>
    <t>Kiểm tra chọn ngày sinh thành công</t>
  </si>
  <si>
    <t>1. Click field Ngày sinh 2. Chọn ngày từ dropdown 3. Click “Lưu thay đổi”</t>
  </si>
  <si>
    <t>Ngày sinh hiển thị đúng giá trị đã chọn; lưu thành công và hiển thị popup thông báo thành công</t>
  </si>
  <si>
    <t>Chức năng - Không nhập tay ngày sinh</t>
  </si>
  <si>
    <t>Kiểm tra không cho nhập ngày sinh bằng bàn phím</t>
  </si>
  <si>
    <t>1. Click field Ngày sinh 2. Thử gõ ngày bằng bàn phím</t>
  </si>
  <si>
    <t>Hệ thống không nhận dữ liệu nhập tay; ngày sinh chỉ được chọn từ dropdown/date picker</t>
  </si>
  <si>
    <t>Chức năng - Ngày sinh không bắt buộc</t>
  </si>
  <si>
    <t>Kiểm tra lưu form khi ngày sinh trống</t>
  </si>
  <si>
    <t>1. Không chọn ngày sinh hoặc xoá ngày sinh đã chọn 2. Nhập họ tên hợp lệ 3. Click “Lưu thay đổi”</t>
  </si>
  <si>
    <r>
      <t xml:space="preserve">Họ tên: </t>
    </r>
    <r>
      <rPr>
        <sz val="10"/>
        <color rgb="FF000000"/>
        <rFont val="Arial Unicode MS"/>
      </rPr>
      <t>Tran Van A</t>
    </r>
    <r>
      <rPr>
        <sz val="11"/>
        <color rgb="FF000000"/>
        <rFont val="Arial"/>
        <family val="2"/>
      </rPr>
      <t>; Ngày sinh: rỗng</t>
    </r>
  </si>
  <si>
    <t>Hệ thống cho phép lưu thành công vì chỉ có Họ và tên là bắt buộc</t>
  </si>
  <si>
    <t>Chức năng - Không cho chọn ngày trong tương lai</t>
  </si>
  <si>
    <t>1. Chọn ngày sinh hoặc xoá ngày sinh đã chọn là ngaày mia, ngày tuương lai 
 2. Click “Lưu thay đổi”</t>
  </si>
  <si>
    <t>2. Không cho phép chọn</t>
  </si>
  <si>
    <t>Chức năng - Giới thiệu hợp lệ</t>
  </si>
  <si>
    <t>Kiểm tra nhập giới thiệu tối đa 255 ký tự</t>
  </si>
  <si>
    <t>1. Nhập giới thiệu 255 ký tự 2. Click “Lưu thay đổi”</t>
  </si>
  <si>
    <t>Chuỗi 255 ký tự</t>
  </si>
  <si>
    <t>Hệ thống cho phép lưu; hiển thị popup thông báo thành công; nội dung giới thiệu được cập nhật</t>
  </si>
  <si>
    <t>ACC_047</t>
  </si>
  <si>
    <t>Chức năng - Validate giới thiệu quá 255 ký tự</t>
  </si>
  <si>
    <t>Kiểm tra giới hạn trường Giới thiệu</t>
  </si>
  <si>
    <t>1. Nhập giới thiệu 256 ký tự 2. Click “Lưu thay đổi”</t>
  </si>
  <si>
    <t>Chuỗi 256 ký tự</t>
  </si>
  <si>
    <t>Hệ thống không cho lưu và hiển thị popup/thông báo lỗi vượt quá 255 ký tự, hoặc không cho nhập quá 255 ký tự</t>
  </si>
  <si>
    <t>Chức năng - Giới thiệu bỏ trống</t>
  </si>
  <si>
    <t>1. K Nhập giới thiệu 256 ký tự 2. Click “Lưu thay đổi”</t>
  </si>
  <si>
    <t>Cho phép bỏ trống</t>
  </si>
  <si>
    <t>ACC_049</t>
  </si>
  <si>
    <t>Chức năng - Sao chép link giới thiệu</t>
  </si>
  <si>
    <t>Kiểm tra nút Sao chép link giới thiệu</t>
  </si>
  <si>
    <t>User đã có mã giới thiệu</t>
  </si>
  <si>
    <t>1. Click “Sao chép” tại link giới thiệu 
2. Paste ra field bất kỳ</t>
  </si>
  <si>
    <t>http://192.168.1.95:13237/register?refCode=REF437985</t>
  </si>
  <si>
    <t>Clipboard chứa đúng link giới thiệu; hiển thị toast/thông báo “Sao chép thành công”</t>
  </si>
  <si>
    <t>Chức năng - Nút Lưu thay đổi enable</t>
  </si>
  <si>
    <t>Kiểm tra trạng thái button Lưu thay đổi khi user nhập dữ liệu</t>
  </si>
  <si>
    <t>1. Sửa field được phép sửa 
2. Quan sát button “Lưu thay đổi”</t>
  </si>
  <si>
    <r>
      <t xml:space="preserve">Họ tên đổi thành </t>
    </r>
    <r>
      <rPr>
        <sz val="10"/>
        <color rgb="FF000000"/>
        <rFont val="Arial Unicode MS"/>
      </rPr>
      <t>Tran Van A</t>
    </r>
  </si>
  <si>
    <t>Button “Lưu thay đổi” enable khi người dùng nhập/sửa dữ liệu</t>
  </si>
  <si>
    <t>Chức năng - Lưu thông tin hợp lệ</t>
  </si>
  <si>
    <t>Kiểm tra lưu thành công thông tin cá nhân hợp lệ</t>
  </si>
  <si>
    <t>1. Sửa họ tên 2. Nhập SĐT hợp lệ 3. Chọn ngày sinh 4. Nhập giới thiệu 5. Click “Lưu thay đổi”</t>
  </si>
  <si>
    <r>
      <t xml:space="preserve">Họ tên: </t>
    </r>
    <r>
      <rPr>
        <sz val="10"/>
        <color rgb="FF000000"/>
        <rFont val="Arial Unicode MS"/>
      </rPr>
      <t>Tran Van A</t>
    </r>
    <r>
      <rPr>
        <sz val="11"/>
        <color rgb="FF000000"/>
        <rFont val="Arial"/>
        <family val="2"/>
      </rPr>
      <t xml:space="preserve">; SĐT: </t>
    </r>
    <r>
      <rPr>
        <sz val="10"/>
        <color rgb="FF000000"/>
        <rFont val="Arial Unicode MS"/>
      </rPr>
      <t>0987654321</t>
    </r>
    <r>
      <rPr>
        <sz val="11"/>
        <color rgb="FF000000"/>
        <rFont val="Arial"/>
        <family val="2"/>
      </rPr>
      <t xml:space="preserve">; Ngày sinh: </t>
    </r>
    <r>
      <rPr>
        <sz val="10"/>
        <color rgb="FF000000"/>
        <rFont val="Arial Unicode MS"/>
      </rPr>
      <t>08/07/2026</t>
    </r>
    <r>
      <rPr>
        <sz val="11"/>
        <color rgb="FF000000"/>
        <rFont val="Arial"/>
        <family val="2"/>
      </rPr>
      <t xml:space="preserve">; Giới thiệu: </t>
    </r>
    <r>
      <rPr>
        <sz val="10"/>
        <color rgb="FF000000"/>
        <rFont val="Arial Unicode MS"/>
      </rPr>
      <t>Tôi là người dùng LandBase</t>
    </r>
  </si>
  <si>
    <t>Hệ thống validate thành công; hiển thị popup thông báo" Cập nhật thông tin thành công; dữ liệu mới được cập nhật trên form; Email, Tên tài khoản, Mã giới thiệu không đổi</t>
  </si>
  <si>
    <t>Chức năng - Lưu thông tin k thành công</t>
  </si>
  <si>
    <t>1. Nhập Q truường k hoợp lệl
2.Click “Lưu thay đổi”</t>
  </si>
  <si>
    <t>Hệ thống validate k thành công; show inline tại truường k hợp lệ,  k lưu dữ liệu</t>
  </si>
  <si>
    <t>UI/UX - Popup xoá tài khoản</t>
  </si>
  <si>
    <t>Kiểm tra hiển thị popup xoá tài khoản</t>
  </si>
  <si>
    <t>Click button “Xoá tài khoản”</t>
  </si>
  <si>
    <t>Hiển thị popup “Xoá tài khoản”; có nội dung cảnh báo không thể hoàn tác; có field Email; có button “Huỷ bỏ”, “Xoá tài khoản”; nền phía sau bị overlay mờ</t>
  </si>
  <si>
    <t>UI/UX - Placeholder email</t>
  </si>
  <si>
    <t>Kiểm tra placeholder field Email trong popup xoá tài khoản</t>
  </si>
  <si>
    <t>Popup xoá tài khoản đang mở</t>
  </si>
  <si>
    <t>Quan sát field Email</t>
  </si>
  <si>
    <r>
      <t xml:space="preserve">Email đăng ký: </t>
    </r>
    <r>
      <rPr>
        <sz val="10"/>
        <color rgb="FF000000"/>
        <rFont val="Arial Unicode MS"/>
      </rPr>
      <t>eno@gmail.com</t>
    </r>
  </si>
  <si>
    <t>Placeholder hiển thị đúng email đã đăng ký của user</t>
  </si>
  <si>
    <t>Chức năng - Chưa nhập email xoá tài khoản</t>
  </si>
  <si>
    <t>Kiểm tra button state khi chưa nhập email</t>
  </si>
  <si>
    <t>Không nhập gì vào field Email</t>
  </si>
  <si>
    <t>Email: rỗng</t>
  </si>
  <si>
    <t>Button “Huỷ bỏ” enable; button “Xoá tài khoản” disable</t>
  </si>
  <si>
    <t>Chức năng - Nhập sai email xoá tài khoản</t>
  </si>
  <si>
    <t>Kiểm tra không cho xoá khi email không khớp email đăng ký</t>
  </si>
  <si>
    <t>Nhập email khác email đăng ký</t>
  </si>
  <si>
    <r>
      <t xml:space="preserve">Email đăng ký: </t>
    </r>
    <r>
      <rPr>
        <sz val="10"/>
        <color rgb="FF000000"/>
        <rFont val="Arial Unicode MS"/>
      </rPr>
      <t>eno@gmail.com</t>
    </r>
    <r>
      <rPr>
        <sz val="11"/>
        <color rgb="FF000000"/>
        <rFont val="Arial"/>
        <family val="2"/>
      </rPr>
      <t xml:space="preserve">; nhập: </t>
    </r>
    <r>
      <rPr>
        <sz val="10"/>
        <color rgb="FF000000"/>
        <rFont val="Arial Unicode MS"/>
      </rPr>
      <t>eno1@gmail.com</t>
    </r>
  </si>
  <si>
    <t>Button “Huỷ bỏ” enable; button “Xoá tài khoản” disable; không cho xoá tài khoản</t>
  </si>
  <si>
    <t>Chức năng - Email sai định dạng trong popup xoá</t>
  </si>
  <si>
    <t>Kiểm tra không cho xoá khi email sai định dạng</t>
  </si>
  <si>
    <t>Nhập email sai định dạng</t>
  </si>
  <si>
    <r>
      <rPr>
        <sz val="10"/>
        <color rgb="FF000000"/>
        <rFont val="Arial Unicode MS"/>
      </rPr>
      <t>eno@gmail</t>
    </r>
    <r>
      <rPr>
        <sz val="11"/>
        <color rgb="FF000000"/>
        <rFont val="Arial"/>
      </rPr>
      <t xml:space="preserve">, </t>
    </r>
    <r>
      <rPr>
        <sz val="10"/>
        <color rgb="FF000000"/>
        <rFont val="Arial Unicode MS"/>
      </rPr>
      <t>eno.com</t>
    </r>
    <r>
      <rPr>
        <sz val="11"/>
        <color rgb="FF000000"/>
        <rFont val="Arial"/>
      </rPr>
      <t xml:space="preserve">, </t>
    </r>
    <r>
      <rPr>
        <sz val="10"/>
        <color rgb="FF000000"/>
        <rFont val="Arial Unicode MS"/>
      </rPr>
      <t>abc</t>
    </r>
  </si>
  <si>
    <t>Button “Xoá tài khoản” disable; không cho xoá tài khoản</t>
  </si>
  <si>
    <t>ACC_058</t>
  </si>
  <si>
    <t>Chức năng - Nhập đúng email xoá tài khoản</t>
  </si>
  <si>
    <t>Kiểm tra button Xoá tài khoản enable khi nhập đúng email</t>
  </si>
  <si>
    <t>Nhập đúng email đăng ký</t>
  </si>
  <si>
    <t>eno@gmail.com</t>
  </si>
  <si>
    <t>Button “Huỷ bỏ” enable; button “Xoá tài khoản” enable, màu button chuyển sang trạng thái active</t>
  </si>
  <si>
    <t>Chức năng - Huỷ xoá tài khoản</t>
  </si>
  <si>
    <t>Kiểm tra click Huỷ bỏ trong popup</t>
  </si>
  <si>
    <t>Click “Huỷ bỏ”</t>
  </si>
  <si>
    <t>Popup đóng; quay lại màn Tổng quan tài khoản; dữ liệu tài khoản không thay đổi</t>
  </si>
  <si>
    <t>Chức năng - Đóng popup bằng icon X</t>
  </si>
  <si>
    <t>Kiểm tra click icon X trong popup</t>
  </si>
  <si>
    <t>Click icon X góc phải popup</t>
  </si>
  <si>
    <t>Popup đóng; không xoá tài khoản; dữ liệu không thay đổi</t>
  </si>
  <si>
    <t>Chức năng - Xoá tài khoản thành công</t>
  </si>
  <si>
    <t>Kiểm tra xoá tài khoản thành công khi nhập đúng email</t>
  </si>
  <si>
    <t>Popup xoá tài khoản đang mở, email nhập đúng</t>
  </si>
  <si>
    <t>1. Nhập đúng email đăng ký 2. Click “Xoá tài khoản”</t>
  </si>
  <si>
    <t>Hệ thống xoá tài khoản thành công; clear dữ liệu màn Tổng quan tài khoản tab “Thông tin cá nhân”; hiển thị thông báo xoá thành công; redirect về màn Login</t>
  </si>
  <si>
    <t>Chức năng - Không truy cập lại sau xoá tài khoản</t>
  </si>
  <si>
    <t>Kiểm tra tài khoản đã xoá không còn truy cập được</t>
  </si>
  <si>
    <t>User đã xoá tài khoản thành công và bị redirect về Login</t>
  </si>
  <si>
    <t>1. Thử đăng nhập lại bằng tài khoản đã xoá 2. Hoặc nhấn Back trình duyệt về Dashboard/Tổng quan tài khoản</t>
  </si>
  <si>
    <r>
      <t xml:space="preserve">Email đã xoá: </t>
    </r>
    <r>
      <rPr>
        <sz val="10"/>
        <color rgb="FF000000"/>
        <rFont val="Arial Unicode MS"/>
      </rPr>
      <t>eno@gmail.com</t>
    </r>
  </si>
  <si>
    <t>Không đăng nhập được bằng tài khoản đã xoá; không xem lại được dữ liệu Tổng quan tài khoản cũ; hệ thống yêu cầu đăng nhập</t>
  </si>
  <si>
    <t>Popup đóng tuyệt đối không xóa tài khoản</t>
  </si>
  <si>
    <t xml:space="preserve">Nút Xóa tài khoản được disable </t>
  </si>
  <si>
    <t>1. Nhập email đúng có khoảng trắng
2. Click Xóa tài khoản</t>
  </si>
  <si>
    <t>Hệ thống k tự trim email , nút Xóa tài khoản : disable</t>
  </si>
  <si>
    <t>Hệ thống xử lý phân biệt hoa thường, nút Xóa tài khoản : disable</t>
  </si>
  <si>
    <t>1. Nhập email đúng
2. Double click Xóa tài khoản</t>
  </si>
  <si>
    <t>ACC_CHANGE_PASS_UI_001</t>
  </si>
  <si>
    <t>UI/UX - Màn Đổi mật khẩu</t>
  </si>
  <si>
    <t>Kiểm tra hiển thị tab Đổi mật khẩu</t>
  </si>
  <si>
    <t>User đã đăng nhập thành công và đang ở màn Tổng quan tài khoản</t>
  </si>
  <si>
    <t>1. Click tab “Đổi mật khẩu” 
2. Quan sát màn hình</t>
  </si>
  <si>
    <t>Tab “Đổi mật khẩu” active màu tím; tab “Thông tin cá nhân” không active; hiển thị đúng title “Tổng quan tài khoản”</t>
  </si>
  <si>
    <t>ACC_CHANGE_PASS_UI_002</t>
  </si>
  <si>
    <t>UI/UX - Form đổi mật khẩu</t>
  </si>
  <si>
    <t>Kiểm tra các trường trên form đổi mật khẩu</t>
  </si>
  <si>
    <t>User đang ở tab Đổi mật khẩu</t>
  </si>
  <si>
    <t>Quan sát form</t>
  </si>
  <si>
    <t>Hiển thị đủ 3 trường bắt buộc: “Mật khẩu hiện tại *”, “Mật khẩu mới *”, “Xác nhận mật khẩu mới *”; hiển thị button “Đổi mật khẩu”: enbale</t>
  </si>
  <si>
    <t>ACC_CHANGE_PASS_UI_003</t>
  </si>
  <si>
    <t>UI/UX - Placeholder</t>
  </si>
  <si>
    <t>Kiểm tra placeholder của các trường mật khẩu</t>
  </si>
  <si>
    <t>Quan sát placeholder từng field</t>
  </si>
  <si>
    <t>Field Mật khẩu hiện tại hiển thị “Nhập mật khẩu hiện tại”; Mật khẩu mới hiển thị “Nhập mật khẩu mới”; Xác nhận mật khẩu mới hiển thị “Nhập lại mật khẩu mới”</t>
  </si>
  <si>
    <t>ACC_CHANGE_PASS_UI_004</t>
  </si>
  <si>
    <t>UI/UX - Icon ẩn/hiện mật khẩu</t>
  </si>
  <si>
    <t>Kiểm tra icon mắt ở từng trường mật khẩu</t>
  </si>
  <si>
    <t>Quan sát icon mắt bên phải các input</t>
  </si>
  <si>
    <t>Mỗi field mật khẩu có icon mắt ở bên phải, căn chỉnh đúng, không che text nhập</t>
  </si>
  <si>
    <t>ACC_CHANGE_PASS_UI_005</t>
  </si>
  <si>
    <t>UI/UX - Box yêu cầu mật khẩu</t>
  </si>
  <si>
    <t>Kiểm tra hiển thị box yêu cầu mật khẩu</t>
  </si>
  <si>
    <t>Quan sát box “Yêu cầu mật khẩu”</t>
  </si>
  <si>
    <t>Hiển thị box yêu cầu mật khẩu gồm: từ 8 ký tự trở lên; bao gồm chữ hoa, chữ thường, số và ký tự đặc biệt; không dùng lại mật khẩu cũ</t>
  </si>
  <si>
    <t>Chức năng - Mở tab Đổi mật khẩu</t>
  </si>
  <si>
    <t>Kiểm tra điều hướng từ Thông tin cá nhân sang Đổi mật khẩu</t>
  </si>
  <si>
    <t>User đang ở tab “Thông tin cá nhân”</t>
  </si>
  <si>
    <t>Click tab “Đổi mật khẩu”</t>
  </si>
  <si>
    <t>Hệ thống chuyển đúng sang form Đổi mật khẩu; không làm thay đổi dữ liệu ở tab Thông tin cá nhân</t>
  </si>
  <si>
    <t>Chức năng - Ẩn/hiện mật khẩu hiện tại</t>
  </si>
  <si>
    <t>Kiểm tra show/hide field Mật khẩu hiện tại</t>
  </si>
  <si>
    <t>1. Nhập mật khẩu hiện tại 
2. Click icon mắt 
3. Click lại icon mắt</t>
  </si>
  <si>
    <t>OldPass@123</t>
  </si>
  <si>
    <t>1. Mk dạng mã hóa
2.  hiển thị ký tự mật khẩu dạng text
3. ẩn lại dạng password/bullet</t>
  </si>
  <si>
    <t>Chức năng - Đổi mật khẩu thành công</t>
  </si>
  <si>
    <t>Kiểm tra đổi mật khẩu thành công khi dữ liệu hợp lệ</t>
  </si>
  <si>
    <t>User đã đăng nhập bằngusename/mật khẩu và biết mật khẩu hiện tại</t>
  </si>
  <si>
    <t>1. Nhập Mật khẩu hiện tại đúng
2. Nhập Mật khẩu mới hợp lệ, khác mật khẩu cũ
3. Nhập Xác nhận mật khẩu mới trùng mật khẩu mới
4. Click “Đổi mật khẩu”</t>
  </si>
  <si>
    <r>
      <t xml:space="preserve">Mật khẩu hiện tại: </t>
    </r>
    <r>
      <rPr>
        <sz val="10"/>
        <color rgb="FF000000"/>
        <rFont val="Arial Unicode MS"/>
      </rPr>
      <t>OldPass@123</t>
    </r>
    <r>
      <rPr>
        <sz val="11"/>
        <color rgb="FF000000"/>
        <rFont val="Arial"/>
        <family val="2"/>
      </rPr>
      <t xml:space="preserve">; Mật khẩu mới: </t>
    </r>
    <r>
      <rPr>
        <sz val="10"/>
        <color rgb="FF000000"/>
        <rFont val="Arial Unicode MS"/>
      </rPr>
      <t>NewPass@456</t>
    </r>
    <r>
      <rPr>
        <sz val="11"/>
        <color rgb="FF000000"/>
        <rFont val="Arial"/>
        <family val="2"/>
      </rPr>
      <t xml:space="preserve">; Xác nhận: </t>
    </r>
    <r>
      <rPr>
        <sz val="10"/>
        <color rgb="FF000000"/>
        <rFont val="Arial Unicode MS"/>
      </rPr>
      <t>NewPass@456</t>
    </r>
  </si>
  <si>
    <t>Hệ thống đổi mật khẩu thành công:
- hiển thị popup/toast thông báo đổi mật khẩu thành công -
- giữ nguyên session hiện tại, clear toàn bộ dữ liệu ở 3 field mật khẩu</t>
  </si>
  <si>
    <t>Popub đang ở bên dưới</t>
  </si>
  <si>
    <t>Chức năng - Giữ session sau đổi mật khẩu</t>
  </si>
  <si>
    <t>Kiểm tra sau khi đổi mật khẩu thành công user không bị logout</t>
  </si>
  <si>
    <t>User nhập đủ dữ liệu hợp lệ và đổi mật khẩu thành công</t>
  </si>
  <si>
    <t>1. Đổi mật khẩu thành công 2. Quan sát màn hình sau khi thông báo thành công 3. Thao tác tiếp trên hệ thống</t>
  </si>
  <si>
    <r>
      <t>OldPass@123</t>
    </r>
    <r>
      <rPr>
        <sz val="11"/>
        <color rgb="FF000000"/>
        <rFont val="Arial"/>
        <family val="2"/>
      </rPr>
      <t xml:space="preserve"> → </t>
    </r>
    <r>
      <rPr>
        <sz val="10"/>
        <color rgb="FF000000"/>
        <rFont val="Arial Unicode MS"/>
      </rPr>
      <t>NewPass@456</t>
    </r>
  </si>
  <si>
    <t>User không bị redirect về Login; session hiện tại vẫn còn hiệu lực; user tiếp tục thao tác được trên Tổng quan tài khoản/Dashboard</t>
  </si>
  <si>
    <t>Chức năng - Clear form sau đổi mật khẩu</t>
  </si>
  <si>
    <t>Kiểm tra clear toàn bộ dữ liệu sau khi đổi mật khẩu thành công</t>
  </si>
  <si>
    <t>User đã nhập đủ 3 field và đổi mật khẩu thành công</t>
  </si>
  <si>
    <t>1. Nhập đủ 3 field 2. Click “Đổi mật khẩu” 3. Quan sát form sau khi đổi thành công</t>
  </si>
  <si>
    <t>Cả 3 field trở về rỗng; hiển thị lại placeholder tương ứng: “Nhập mật khẩu hiện tại”, “Nhập mật khẩu mới”, “Nhập lại mật khẩu mới”</t>
  </si>
  <si>
    <t>Chức năng - Đăng nhập bằng mật khẩu mới</t>
  </si>
  <si>
    <t>Kiểm tra mật khẩu mới có hiệu lực sau khi đổi</t>
  </si>
  <si>
    <t>User đã đổi mật khẩu thành công</t>
  </si>
  <si>
    <t>1. Đăng xuất
2. Vào Login
 3. Đăng nhập bằng mật khẩu mới</t>
  </si>
  <si>
    <r>
      <t xml:space="preserve">Email user; Password: </t>
    </r>
    <r>
      <rPr>
        <sz val="10"/>
        <color rgb="FF000000"/>
        <rFont val="Arial Unicode MS"/>
      </rPr>
      <t>NewPass@456</t>
    </r>
  </si>
  <si>
    <t>Đăng nhập thành công bằng mật khẩu mới</t>
  </si>
  <si>
    <t>Chức năng - Không đăng nhập bằng mật khẩu cũ</t>
  </si>
  <si>
    <t>Kiểm tra mật khẩu cũ không còn hiệu lực sau khi đổi</t>
  </si>
  <si>
    <t>1. Đăng xuất
2. Vào Login
 3. Đăng nhập bằng mật khẩu cũ</t>
  </si>
  <si>
    <r>
      <t xml:space="preserve">Email user; Password: </t>
    </r>
    <r>
      <rPr>
        <sz val="10"/>
        <color rgb="FF000000"/>
        <rFont val="Arial Unicode MS"/>
      </rPr>
      <t>OldPass@123</t>
    </r>
  </si>
  <si>
    <t>Đăng nhập thất bại; hiển thị thông báo “Email hoặc mật khẩu không đúng”</t>
  </si>
  <si>
    <t>Chức năng - Bỏ trống toàn bộ field</t>
  </si>
  <si>
    <t>Kiểm tra validate khi không nhập dữ liệu</t>
  </si>
  <si>
    <t>Click “Đổi mật khẩu” khi chưa nhập gì</t>
  </si>
  <si>
    <t>Cả 3 field rỗng</t>
  </si>
  <si>
    <t>Hệ thống hiển thị lỗi bắt buộc cho 3 field; không cập nhật mật khẩu</t>
  </si>
  <si>
    <t>Chức năng - Bỏ trống mật khẩu hiện tại</t>
  </si>
  <si>
    <t>Kiểm tra validate field Mật khẩu hiện tại bắt buộc</t>
  </si>
  <si>
    <t>1. Để trống Mật khẩu hiện tại 2. Nhập Mật khẩu mới 3. Nhập Xác nhận mật khẩu mới 4. Click “Đổi mật khẩu”</t>
  </si>
  <si>
    <r>
      <t xml:space="preserve">Mật khẩu hiện tại: rỗng; Mật khẩu mới: </t>
    </r>
    <r>
      <rPr>
        <sz val="10"/>
        <color rgb="FF000000"/>
        <rFont val="Arial Unicode MS"/>
      </rPr>
      <t>NewPass@456</t>
    </r>
    <r>
      <rPr>
        <sz val="11"/>
        <color rgb="FF000000"/>
        <rFont val="Arial"/>
        <family val="2"/>
      </rPr>
      <t xml:space="preserve">; Xác nhận: </t>
    </r>
    <r>
      <rPr>
        <sz val="10"/>
        <color rgb="FF000000"/>
        <rFont val="Arial Unicode MS"/>
      </rPr>
      <t>NewPass@456</t>
    </r>
  </si>
  <si>
    <t>Show inline, k cập nhật mk</t>
  </si>
  <si>
    <t>Chức năng - Bỏ trống mật khẩu mới</t>
  </si>
  <si>
    <t>Kiểm tra validate field Mật khẩu mới bắt buộc</t>
  </si>
  <si>
    <t>1. Nhập Mật khẩu hiện tại 2. Để trống Mật khẩu mới 3. Nhập Xác nhận mật khẩu mới 4. Click “Đổi mật khẩu”</t>
  </si>
  <si>
    <r>
      <t xml:space="preserve">Mật khẩu hiện tại: </t>
    </r>
    <r>
      <rPr>
        <sz val="10"/>
        <color rgb="FF000000"/>
        <rFont val="Arial Unicode MS"/>
      </rPr>
      <t>OldPass@123</t>
    </r>
    <r>
      <rPr>
        <sz val="11"/>
        <color rgb="FF000000"/>
        <rFont val="Arial"/>
        <family val="2"/>
      </rPr>
      <t xml:space="preserve">; Mật khẩu mới: rỗng; Xác nhận: </t>
    </r>
    <r>
      <rPr>
        <sz val="10"/>
        <color rgb="FF000000"/>
        <rFont val="Arial Unicode MS"/>
      </rPr>
      <t>NewPass@456</t>
    </r>
  </si>
  <si>
    <t>Chức năng - Bỏ trống xác nhận mật khẩu mới</t>
  </si>
  <si>
    <t>Kiểm tra validate field Xác nhận mật khẩu mới bắt buộc</t>
  </si>
  <si>
    <t>1. Nhập Mật khẩu hiện tại 2. Nhập Mật khẩu mới 3. Để trống Xác nhận mật khẩu mới 4. Click “Đổi mật khẩu”</t>
  </si>
  <si>
    <r>
      <t xml:space="preserve">Mật khẩu hiện tại: </t>
    </r>
    <r>
      <rPr>
        <sz val="10"/>
        <color rgb="FF000000"/>
        <rFont val="Arial Unicode MS"/>
      </rPr>
      <t>OldPass@123</t>
    </r>
    <r>
      <rPr>
        <sz val="11"/>
        <color rgb="FF000000"/>
        <rFont val="Arial"/>
        <family val="2"/>
      </rPr>
      <t xml:space="preserve">; Mật khẩu mới: </t>
    </r>
    <r>
      <rPr>
        <sz val="10"/>
        <color rgb="FF000000"/>
        <rFont val="Arial Unicode MS"/>
      </rPr>
      <t>NewPass@456</t>
    </r>
    <r>
      <rPr>
        <sz val="11"/>
        <color rgb="FF000000"/>
        <rFont val="Arial"/>
        <family val="2"/>
      </rPr>
      <t>; Xác nhận: rỗng</t>
    </r>
  </si>
  <si>
    <t>Chức năng - Mật khẩu hiện tại sai</t>
  </si>
  <si>
    <t>Kiểm tra không cho đổi khi mật khẩu hiện tại không đúng</t>
  </si>
  <si>
    <t>1. Nhập sai Mật khẩu hiện tại 2. Nhập Mật khẩu mới hợp lệ 3. Nhập xác nhận khớp 4. Click “Đổi mật khẩu”</t>
  </si>
  <si>
    <r>
      <t xml:space="preserve">Mật khẩu hiện tại: </t>
    </r>
    <r>
      <rPr>
        <sz val="10"/>
        <color rgb="FF000000"/>
        <rFont val="Arial Unicode MS"/>
      </rPr>
      <t>WrongPass@123</t>
    </r>
    <r>
      <rPr>
        <sz val="11"/>
        <color rgb="FF000000"/>
        <rFont val="Arial"/>
        <family val="2"/>
      </rPr>
      <t xml:space="preserve">; Mật khẩu mới: </t>
    </r>
    <r>
      <rPr>
        <sz val="10"/>
        <color rgb="FF000000"/>
        <rFont val="Arial Unicode MS"/>
      </rPr>
      <t>NewPass@456</t>
    </r>
    <r>
      <rPr>
        <sz val="11"/>
        <color rgb="FF000000"/>
        <rFont val="Arial"/>
        <family val="2"/>
      </rPr>
      <t xml:space="preserve">; Xác nhận: </t>
    </r>
    <r>
      <rPr>
        <sz val="10"/>
        <color rgb="FF000000"/>
        <rFont val="Arial Unicode MS"/>
      </rPr>
      <t>NewPass@456</t>
    </r>
  </si>
  <si>
    <t>Hệ thống báo lỗi “Mật khẩu hiện tại không đúng” hoặc thông báo tương đương; không cập nhật mật khẩu; không clear dữ liệu nếu đổi thất bại</t>
  </si>
  <si>
    <t>Chức năng - Mật khẩu mới dưới 8 ký tự</t>
  </si>
  <si>
    <t>Kiểm tra rule tối thiểu 8 ký tự</t>
  </si>
  <si>
    <t>1. Nhập mật khẩu hiện tại đúng 2. Nhập mật khẩu mới dưới 8 ký tự 3. Nhập xác nhận khớp 4. Click “Đổi mật khẩu”</t>
  </si>
  <si>
    <r>
      <t xml:space="preserve">Mật khẩu mới: </t>
    </r>
    <r>
      <rPr>
        <sz val="10"/>
        <color rgb="FF000000"/>
        <rFont val="Arial Unicode MS"/>
      </rPr>
      <t>Ab1@12</t>
    </r>
    <r>
      <rPr>
        <sz val="11"/>
        <color rgb="FF000000"/>
        <rFont val="Arial"/>
        <family val="2"/>
      </rPr>
      <t xml:space="preserve">; Xác nhận: </t>
    </r>
    <r>
      <rPr>
        <sz val="10"/>
        <color rgb="FF000000"/>
        <rFont val="Arial Unicode MS"/>
      </rPr>
      <t>Ab1@12</t>
    </r>
  </si>
  <si>
    <t>Hiển thị lỗi mật khẩu mới không đạt yêu cầu “Từ 8 ký tự trở lên”; không cập nhật mật khẩu</t>
  </si>
  <si>
    <t>Chức năng - Mật khẩu mới thiếu chữ hoa</t>
  </si>
  <si>
    <t>Kiểm tra rule bắt buộc có chữ hoa</t>
  </si>
  <si>
    <t>1. Nhập mật khẩu hiện tại đúng 2. Nhập mật khẩu mới không có chữ hoa 3. Click “Đổi mật khẩu”</t>
  </si>
  <si>
    <r>
      <t xml:space="preserve">Mật khẩu mới: </t>
    </r>
    <r>
      <rPr>
        <sz val="10"/>
        <color rgb="FF000000"/>
        <rFont val="Arial Unicode MS"/>
      </rPr>
      <t>newpass@123</t>
    </r>
    <r>
      <rPr>
        <sz val="11"/>
        <color rgb="FF000000"/>
        <rFont val="Arial"/>
        <family val="2"/>
      </rPr>
      <t xml:space="preserve">; Xác nhận: </t>
    </r>
    <r>
      <rPr>
        <sz val="10"/>
        <color rgb="FF000000"/>
        <rFont val="Arial Unicode MS"/>
      </rPr>
      <t>newpass@123</t>
    </r>
  </si>
  <si>
    <t>Hiển thị lỗi mật khẩu mới phải bao gồm chữ hoa; không cập nhật mật khẩu</t>
  </si>
  <si>
    <t>Chức năng - Mật khẩu mới thiếu chữ thường</t>
  </si>
  <si>
    <t>Kiểm tra rule bắt buộc có chữ thường</t>
  </si>
  <si>
    <t>1. Nhập mật khẩu hiện tại đúng 2. Nhập mật khẩu mới không có chữ thường 3. Click “Đổi mật khẩu”</t>
  </si>
  <si>
    <r>
      <t xml:space="preserve">Mật khẩu mới: </t>
    </r>
    <r>
      <rPr>
        <sz val="10"/>
        <color rgb="FF000000"/>
        <rFont val="Arial Unicode MS"/>
      </rPr>
      <t>NEWPASS@123</t>
    </r>
    <r>
      <rPr>
        <sz val="11"/>
        <color rgb="FF000000"/>
        <rFont val="Arial"/>
        <family val="2"/>
      </rPr>
      <t xml:space="preserve">; Xác nhận: </t>
    </r>
    <r>
      <rPr>
        <sz val="10"/>
        <color rgb="FF000000"/>
        <rFont val="Arial Unicode MS"/>
      </rPr>
      <t>NEWPASS@123</t>
    </r>
  </si>
  <si>
    <t>Hiển thị lỗi mật khẩu mới phải bao gồm chữ thường; không cập nhật mật khẩu</t>
  </si>
  <si>
    <t>Chức năng - Mật khẩu mới thiếu số</t>
  </si>
  <si>
    <t>Kiểm tra rule bắt buộc có số</t>
  </si>
  <si>
    <t>1. Nhập mật khẩu hiện tại đúng 2. Nhập mật khẩu mới không có số 3. Click “Đổi mật khẩu”</t>
  </si>
  <si>
    <r>
      <t xml:space="preserve">Mật khẩu mới: </t>
    </r>
    <r>
      <rPr>
        <sz val="10"/>
        <color rgb="FF000000"/>
        <rFont val="Arial Unicode MS"/>
      </rPr>
      <t>NewPass@@</t>
    </r>
    <r>
      <rPr>
        <sz val="11"/>
        <color rgb="FF000000"/>
        <rFont val="Arial"/>
        <family val="2"/>
      </rPr>
      <t xml:space="preserve">; Xác nhận: </t>
    </r>
    <r>
      <rPr>
        <sz val="10"/>
        <color rgb="FF000000"/>
        <rFont val="Arial Unicode MS"/>
      </rPr>
      <t>NewPass@@</t>
    </r>
  </si>
  <si>
    <t>Hiển thị lỗi mật khẩu mới phải bao gồm số; không cập nhật mật khẩu</t>
  </si>
  <si>
    <t>Chức năng - Mật khẩu mới thiếu ký tự đặc biệt</t>
  </si>
  <si>
    <t>Kiểm tra rule bắt buộc có ký tự đặc biệt</t>
  </si>
  <si>
    <t>1. Nhập mật khẩu hiện tại đúng 2. Nhập mật khẩu mới không có ký tự đặc biệt 3. Click “Đổi mật khẩu”</t>
  </si>
  <si>
    <r>
      <t xml:space="preserve">Mật khẩu mới: </t>
    </r>
    <r>
      <rPr>
        <sz val="10"/>
        <color rgb="FF000000"/>
        <rFont val="Arial Unicode MS"/>
      </rPr>
      <t>NewPass123</t>
    </r>
    <r>
      <rPr>
        <sz val="11"/>
        <color rgb="FF000000"/>
        <rFont val="Arial"/>
        <family val="2"/>
      </rPr>
      <t xml:space="preserve">; Xác nhận: </t>
    </r>
    <r>
      <rPr>
        <sz val="10"/>
        <color rgb="FF000000"/>
        <rFont val="Arial Unicode MS"/>
      </rPr>
      <t>NewPass123</t>
    </r>
  </si>
  <si>
    <t>Hiển thị lỗi mật khẩu mới phải bao gồm ký tự đặc biệt; không cập nhật mật khẩu</t>
  </si>
  <si>
    <t>Chức năng - Không dùng lại mật khẩu cũ</t>
  </si>
  <si>
    <t>Kiểm tra không cho đổi mật khẩu mới trùng mật khẩu hiện tại</t>
  </si>
  <si>
    <t>1. Nhập Mật khẩu hiện tại đúng 2. Nhập Mật khẩu mới giống mật khẩu hiện tại 3. Nhập Xác nhận mật khẩu mới giống mật khẩu hiện tại 4. Click “Đổi mật khẩu”</t>
  </si>
  <si>
    <r>
      <t xml:space="preserve">Mật khẩu hiện tại: </t>
    </r>
    <r>
      <rPr>
        <sz val="10"/>
        <color rgb="FF000000"/>
        <rFont val="Arial Unicode MS"/>
      </rPr>
      <t>OldPass@123</t>
    </r>
    <r>
      <rPr>
        <sz val="11"/>
        <color rgb="FF000000"/>
        <rFont val="Arial"/>
        <family val="2"/>
      </rPr>
      <t xml:space="preserve">; Mật khẩu mới: </t>
    </r>
    <r>
      <rPr>
        <sz val="10"/>
        <color rgb="FF000000"/>
        <rFont val="Arial Unicode MS"/>
      </rPr>
      <t>OldPass@123</t>
    </r>
    <r>
      <rPr>
        <sz val="11"/>
        <color rgb="FF000000"/>
        <rFont val="Arial"/>
        <family val="2"/>
      </rPr>
      <t xml:space="preserve">; Xác nhận: </t>
    </r>
    <r>
      <rPr>
        <sz val="10"/>
        <color rgb="FF000000"/>
        <rFont val="Arial Unicode MS"/>
      </rPr>
      <t>OldPass@123</t>
    </r>
  </si>
  <si>
    <t>Chức năng - Xác nhận mật khẩu mới không khớp</t>
  </si>
  <si>
    <t>Kiểm tra validate confirm password</t>
  </si>
  <si>
    <t>1. Nhập Mật khẩu hiện tại đúng 2. Nhập Mật khẩu mới hợp lệ 3. Nhập Xác nhận khác Mật khẩu mới 4. Click “Đổi mật khẩu”</t>
  </si>
  <si>
    <r>
      <t xml:space="preserve">Mật khẩu mới: </t>
    </r>
    <r>
      <rPr>
        <sz val="10"/>
        <color rgb="FF000000"/>
        <rFont val="Arial Unicode MS"/>
      </rPr>
      <t>NewPass@456</t>
    </r>
    <r>
      <rPr>
        <sz val="11"/>
        <color rgb="FF000000"/>
        <rFont val="Arial"/>
        <family val="2"/>
      </rPr>
      <t xml:space="preserve">; Xác nhận: </t>
    </r>
    <r>
      <rPr>
        <sz val="10"/>
        <color rgb="FF000000"/>
        <rFont val="Arial Unicode MS"/>
      </rPr>
      <t>NewPass@789</t>
    </r>
  </si>
  <si>
    <t>Hiển thị lỗi “Mật khẩu và nhập lại mật khẩu không khớp” hoặc thông báo tương đương; không cập nhật mật khẩu</t>
  </si>
  <si>
    <t>Chức năng - Mật khẩu mới có khoảng trắng đầu/cuối</t>
  </si>
  <si>
    <t>Kiểm tra xử lý khoảng trắng đầu/cuối trong mật khẩu mới</t>
  </si>
  <si>
    <t>1. Nhập Mật khẩu hiện tại đúng 2. Nhập Mật khẩu mới có khoảng trắng đầu/cuối 3. Nhập Xác nhận tương ứng 4. Click “Đổi mật khẩu”</t>
  </si>
  <si>
    <r>
      <t xml:space="preserve">Mật khẩu mới: </t>
    </r>
    <r>
      <rPr>
        <sz val="10"/>
        <color rgb="FF000000"/>
        <rFont val="Arial Unicode MS"/>
      </rPr>
      <t>NewPass@456</t>
    </r>
  </si>
  <si>
    <t>Hệ thoống k trim khoảng trắng ,hiển thị lỗi định dạng</t>
  </si>
  <si>
    <t>Expectation case cần Dev confirm rule khoảng trắng</t>
  </si>
  <si>
    <t>Chức năng - Mật khẩu mới/XNMK mới có khoảng trắng đầu/cuối</t>
  </si>
  <si>
    <r>
      <t>Nếu hệ thống không hỗ trợ khoảng trắng thì hiển thị lỗi định dạng;</t>
    </r>
    <r>
      <rPr>
        <sz val="11"/>
        <color rgb="FFFF0000"/>
        <rFont val="Arial"/>
        <family val="2"/>
      </rPr>
      <t xml:space="preserve"> nếu hỗ trợ thì phải lưu đúng chính xác chuỗi đã nhập và đăng nhập lại được bằng chính chuỗi đó ( nunw làm như này)</t>
    </r>
  </si>
  <si>
    <t>Chức năng - Mật khẩu mới/XNMK có tiếng Việt có dấu</t>
  </si>
  <si>
    <t>Kiểm tra rule ký tự Unicode trong mật khẩu</t>
  </si>
  <si>
    <t>1. Nhập Mật khẩu hiện tại đúng 2. Nhập Mật khẩu mới có tiếng Việt 3. Click “Đổi mật khẩu”</t>
  </si>
  <si>
    <r>
      <t xml:space="preserve">Mật khẩu mới: </t>
    </r>
    <r>
      <rPr>
        <sz val="10"/>
        <color rgb="FF000000"/>
        <rFont val="Arial Unicode MS"/>
      </rPr>
      <t>MậtKhẩu@123</t>
    </r>
    <r>
      <rPr>
        <sz val="11"/>
        <color rgb="FF000000"/>
        <rFont val="Arial"/>
        <family val="2"/>
      </rPr>
      <t xml:space="preserve">; Xác nhận: </t>
    </r>
    <r>
      <rPr>
        <sz val="10"/>
        <color rgb="FF000000"/>
        <rFont val="Arial Unicode MS"/>
      </rPr>
      <t>MậtKhẩu@123</t>
    </r>
  </si>
  <si>
    <t>Nếu hệ thống không hỗ trợ Unicode thì hiển thị lỗi định dạng</t>
  </si>
  <si>
    <t>Expectation case cần Dev confirm rule Unicode</t>
  </si>
  <si>
    <t>Chức năng - XNMK có tiếng Việt có dấu</t>
  </si>
  <si>
    <t>Chức năng - Double click Đổi mật khẩu</t>
  </si>
  <si>
    <t>Kiểm tra tránh gửi nhiều request đổi mật khẩu</t>
  </si>
  <si>
    <t>User đã nhập đủ dữ liệu hợp lệ</t>
  </si>
  <si>
    <t>Double click nhanh button “Đổi mật khẩu”</t>
  </si>
  <si>
    <t>Hệ thống chỉ xử lý một lần; button disable/loading trong lúc xử lý; không phát sinh lỗi đổi mật khẩu nhiều lần</t>
  </si>
  <si>
    <t>Chức năng - Mất kết nối mạng khi đổi mật khẩu</t>
  </si>
  <si>
    <t>Kiểm tra xử lý khi mất mạng trong lúc submit</t>
  </si>
  <si>
    <t>1. Ngắt mạng hoặc giả lập network offline 2. Click “Đổi mật khẩu”</t>
  </si>
  <si>
    <t xml:space="preserve">Hệ thống hiển thị thông báo lỗi kết nối; không cập nhật mật khẩu; dữ liệu đã nhập  bị clear </t>
  </si>
  <si>
    <t>Chức năng - Mật khẩu mới chỉ có ký tự đặc biệt và số</t>
  </si>
  <si>
    <t>Kiểm tra password không đủ chữ hoa/chữ thường</t>
  </si>
  <si>
    <t>1. Nhập mật khẩu mới chỉ gồm số và ký tự đặc biệt 2. Click “Đổi mật khẩu”</t>
  </si>
  <si>
    <t>12345678@</t>
  </si>
  <si>
    <t>Hiển thị lỗi mật khẩu mới chưa đủ chữ hoa/chữ thường; không cập nhật mật khẩu</t>
  </si>
  <si>
    <t>Chức năng - Không lưu plaintext mật khẩu</t>
  </si>
  <si>
    <t>Kiểm tra mật khẩu không bị lưu dạng plaintext</t>
  </si>
  <si>
    <t>Có quyền kiểm tra DB/test DB</t>
  </si>
  <si>
    <t>1. Đổi mật khẩu thành công 2. Kiểm tra bản ghi password trong DB</t>
  </si>
  <si>
    <t>NewPass@456</t>
  </si>
  <si>
    <r>
      <t xml:space="preserve">DB chỉ lưu password hash; không lưu plaintext </t>
    </r>
    <r>
      <rPr>
        <sz val="10"/>
        <color rgb="FF000000"/>
        <rFont val="Arial Unicode MS"/>
      </rPr>
      <t>NewPass@456</t>
    </r>
    <r>
      <rPr>
        <sz val="11"/>
        <color rgb="FF000000"/>
        <rFont val="Arial"/>
        <family val="2"/>
      </rPr>
      <t>; hash mới khác hash cũ</t>
    </r>
  </si>
  <si>
    <t>Chưa test</t>
  </si>
  <si>
    <t>Expectation case theo BRD yêu cầu mật khẩu hash trước khi lưu.</t>
  </si>
  <si>
    <t>Chức năng - Không log mật khẩu</t>
  </si>
  <si>
    <t>Kiểm tra mật khẩu không bị ghi log plaintext</t>
  </si>
  <si>
    <t>Có quyền xem log hệ thống/test log</t>
  </si>
  <si>
    <t>1. Thực hiện đổi mật khẩu 2. Kiểm tra log frontend/backend/network monitoring</t>
  </si>
  <si>
    <r>
      <t>OldPass@123</t>
    </r>
    <r>
      <rPr>
        <sz val="11"/>
        <color rgb="FF000000"/>
        <rFont val="Arial"/>
        <family val="2"/>
      </rPr>
      <t xml:space="preserve">, </t>
    </r>
    <r>
      <rPr>
        <sz val="10"/>
        <color rgb="FF000000"/>
        <rFont val="Arial Unicode MS"/>
      </rPr>
      <t>NewPass@456</t>
    </r>
  </si>
  <si>
    <t>Không ghi plaintext mật khẩu hiện tại, mật khẩu mới, xác nhận mật khẩu mới trong log</t>
  </si>
  <si>
    <t>Expectation case theo BRD không log mật khẩu.</t>
  </si>
  <si>
    <t>Chức năng - API lỗi khi đổi mật khẩu</t>
  </si>
  <si>
    <t>Kiểm tra xử lý khi hệ thống lỗi</t>
  </si>
  <si>
    <t>1. Giả lập API đổi mật khẩu lỗi 500/timeout 2. Click “Đổi mật khẩu”</t>
  </si>
  <si>
    <t>Hiển thị popup/toast lỗi “Có lỗi xảy ra, vui lòng thử lại” hoặc thông báo tương đương; không cập nhật mật khẩu; không clear dữ liệu nếu đổi thất bại; mật khẩu cũ vẫn dùng được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</si>
</sst>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font>
      <sz val="12"/>
      <color theme="1"/>
      <name val="Arial"/>
      <family val="2"/>
      <scheme val="minor"/>
    </font>
    <font>
      <b/>
      <sz val="11"/>
      <name val="Times New Roman"/>
      <family val="1"/>
    </font>
    <font>
      <i/>
      <sz val="9"/>
      <name val="Times New Roman"/>
      <family val="1"/>
    </font>
    <font>
      <sz val="9"/>
      <name val="Times New Roman"/>
      <family val="1"/>
    </font>
    <font>
      <b/>
      <sz val="11"/>
      <color theme="1"/>
      <name val="Times New Roman"/>
      <family val="1"/>
    </font>
    <font>
      <i/>
      <sz val="9"/>
      <color theme="1"/>
      <name val="Times New Roman"/>
      <family val="1"/>
    </font>
    <font>
      <b/>
      <sz val="16"/>
      <name val="Times New Roman"/>
      <family val="1"/>
    </font>
    <font>
      <sz val="16"/>
      <name val="Times New Roman"/>
      <family val="1"/>
    </font>
    <font>
      <b/>
      <sz val="11"/>
      <color rgb="FFFF0000"/>
      <name val="Times New Roman"/>
      <family val="1"/>
    </font>
    <font>
      <b/>
      <sz val="11"/>
      <color rgb="FF333333"/>
      <name val="Times New Roman"/>
      <family val="1"/>
    </font>
    <font>
      <sz val="11"/>
      <name val="Times New Roman"/>
      <family val="1"/>
    </font>
    <font>
      <sz val="10"/>
      <color theme="1"/>
      <name val="Arial Unicode MS"/>
    </font>
    <font>
      <u/>
      <sz val="12"/>
      <color theme="10"/>
      <name val="Arial"/>
      <family val="2"/>
      <scheme val="minor"/>
    </font>
    <font>
      <sz val="11"/>
      <color rgb="FF000000"/>
      <name val="Arial"/>
      <family val="2"/>
    </font>
    <font>
      <sz val="11"/>
      <color rgb="FF000000"/>
      <name val="Arial"/>
    </font>
    <font>
      <sz val="10"/>
      <color rgb="FF000000"/>
      <name val="Arial Unicode MS"/>
    </font>
    <font>
      <sz val="11"/>
      <color rgb="FFFF0000"/>
      <name val="Arial"/>
      <family val="2"/>
    </font>
  </fonts>
  <fills count="7">
    <fill>
      <patternFill patternType="none"/>
    </fill>
    <fill>
      <patternFill patternType="gray125"/>
    </fill>
    <fill>
      <patternFill patternType="solid">
        <fgColor theme="4" tint="0.39997558519241921"/>
        <bgColor indexed="64"/>
      </patternFill>
    </fill>
    <fill>
      <patternFill patternType="solid">
        <fgColor indexed="9"/>
        <bgColor indexed="64"/>
      </patternFill>
    </fill>
    <fill>
      <patternFill patternType="solid">
        <fgColor rgb="FFF8CBAD"/>
        <bgColor rgb="FF000000"/>
      </patternFill>
    </fill>
    <fill>
      <patternFill patternType="solid">
        <fgColor theme="9" tint="0.59999389629810485"/>
        <bgColor indexed="64"/>
      </patternFill>
    </fill>
    <fill>
      <patternFill patternType="solid">
        <fgColor rgb="FFFCE4D6"/>
        <bgColor rgb="FF000000"/>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2" fillId="0" borderId="0" applyNumberFormat="0" applyFill="0" applyBorder="0" applyAlignment="0" applyProtection="0"/>
  </cellStyleXfs>
  <cellXfs count="38">
    <xf numFmtId="0" fontId="0" fillId="0" borderId="0" xfId="0"/>
    <xf numFmtId="0" fontId="0" fillId="0" borderId="0" xfId="0" applyAlignment="1">
      <alignment wrapText="1"/>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1" fillId="3" borderId="12" xfId="0" applyFont="1" applyFill="1" applyBorder="1" applyAlignment="1">
      <alignment vertical="center" wrapText="1"/>
    </xf>
    <xf numFmtId="0" fontId="8" fillId="0" borderId="1" xfId="0" applyFont="1" applyBorder="1" applyAlignment="1">
      <alignment horizontal="center" vertical="center" wrapText="1"/>
    </xf>
    <xf numFmtId="0" fontId="0" fillId="0" borderId="0" xfId="0" applyAlignment="1">
      <alignment vertical="center" wrapText="1"/>
    </xf>
    <xf numFmtId="0" fontId="9" fillId="0" borderId="0" xfId="0" applyFont="1" applyAlignment="1">
      <alignment horizontal="right" vertical="center" wrapText="1"/>
    </xf>
    <xf numFmtId="0" fontId="1" fillId="3" borderId="0" xfId="0" applyFont="1" applyFill="1" applyAlignment="1">
      <alignment vertical="center" wrapText="1"/>
    </xf>
    <xf numFmtId="0" fontId="10" fillId="0" borderId="0" xfId="0" applyFont="1" applyAlignment="1">
      <alignment horizontal="center" vertical="center" wrapText="1"/>
    </xf>
    <xf numFmtId="0" fontId="11" fillId="0" borderId="0" xfId="0" applyFont="1" applyAlignment="1">
      <alignment vertical="center" wrapText="1"/>
    </xf>
    <xf numFmtId="14" fontId="0" fillId="0" borderId="0" xfId="0" applyNumberFormat="1" applyAlignment="1">
      <alignment vertical="center" wrapText="1"/>
    </xf>
    <xf numFmtId="0" fontId="12" fillId="0" borderId="0" xfId="1" applyAlignment="1">
      <alignment vertical="center" wrapText="1"/>
    </xf>
    <xf numFmtId="0" fontId="13" fillId="0" borderId="0" xfId="0" applyFont="1" applyAlignment="1">
      <alignment vertical="center" wrapText="1"/>
    </xf>
    <xf numFmtId="0" fontId="12" fillId="0" borderId="0" xfId="1" applyFill="1" applyBorder="1" applyAlignment="1">
      <alignment vertical="center" wrapText="1"/>
    </xf>
    <xf numFmtId="0" fontId="14" fillId="0" borderId="0" xfId="0" applyFont="1" applyAlignment="1">
      <alignment vertical="center" wrapText="1"/>
    </xf>
    <xf numFmtId="0" fontId="15" fillId="0" borderId="0" xfId="0" applyFont="1" applyAlignment="1">
      <alignment vertical="center" wrapText="1"/>
    </xf>
    <xf numFmtId="0" fontId="13" fillId="4" borderId="0" xfId="0" applyFont="1" applyFill="1" applyAlignment="1">
      <alignment vertical="center" wrapText="1"/>
    </xf>
    <xf numFmtId="0" fontId="13" fillId="0" borderId="0" xfId="0" applyFont="1" applyAlignment="1">
      <alignment vertical="center"/>
    </xf>
    <xf numFmtId="14" fontId="15" fillId="0" borderId="0" xfId="0" applyNumberFormat="1" applyFont="1" applyAlignment="1">
      <alignment vertical="center" wrapText="1"/>
    </xf>
    <xf numFmtId="0" fontId="13" fillId="5" borderId="0" xfId="0" applyFont="1" applyFill="1" applyAlignment="1">
      <alignment vertical="center" wrapText="1"/>
    </xf>
    <xf numFmtId="0" fontId="13" fillId="0" borderId="0" xfId="0" applyFont="1" applyAlignment="1">
      <alignment wrapText="1"/>
    </xf>
    <xf numFmtId="0" fontId="14" fillId="0" borderId="0" xfId="0" applyFont="1" applyAlignment="1">
      <alignment wrapText="1"/>
    </xf>
    <xf numFmtId="0" fontId="13" fillId="6" borderId="0" xfId="0" applyFont="1" applyFill="1" applyAlignment="1">
      <alignment wrapText="1"/>
    </xf>
    <xf numFmtId="0" fontId="15" fillId="0" borderId="0" xfId="0" applyFont="1" applyAlignment="1">
      <alignment wrapText="1"/>
    </xf>
    <xf numFmtId="0" fontId="14" fillId="0" borderId="0" xfId="0" applyFont="1"/>
    <xf numFmtId="0" fontId="6" fillId="3" borderId="2" xfId="0" applyFont="1" applyFill="1" applyBorder="1" applyAlignment="1">
      <alignment horizontal="left" vertical="center" wrapText="1"/>
    </xf>
    <xf numFmtId="0" fontId="6" fillId="3" borderId="3" xfId="0" applyFont="1" applyFill="1" applyBorder="1" applyAlignment="1">
      <alignment horizontal="left" vertical="center" wrapText="1"/>
    </xf>
    <xf numFmtId="0" fontId="6" fillId="3" borderId="4" xfId="0" applyFont="1" applyFill="1" applyBorder="1" applyAlignment="1">
      <alignment horizontal="left" vertical="center" wrapText="1"/>
    </xf>
    <xf numFmtId="0" fontId="6" fillId="3" borderId="5" xfId="0" applyFont="1" applyFill="1" applyBorder="1" applyAlignment="1">
      <alignment horizontal="left" vertical="center" wrapText="1"/>
    </xf>
    <xf numFmtId="0" fontId="6" fillId="3" borderId="0" xfId="0" applyFont="1" applyFill="1" applyAlignment="1">
      <alignment horizontal="left" vertical="center" wrapText="1"/>
    </xf>
    <xf numFmtId="0" fontId="6" fillId="3" borderId="6" xfId="0" applyFont="1" applyFill="1" applyBorder="1" applyAlignment="1">
      <alignment horizontal="left" vertical="center" wrapText="1"/>
    </xf>
    <xf numFmtId="0" fontId="6" fillId="3" borderId="7" xfId="0" applyFont="1" applyFill="1" applyBorder="1" applyAlignment="1">
      <alignment horizontal="left" vertical="center" wrapText="1"/>
    </xf>
    <xf numFmtId="0" fontId="6" fillId="3" borderId="8" xfId="0" applyFont="1" applyFill="1" applyBorder="1" applyAlignment="1">
      <alignment horizontal="left" vertical="center" wrapText="1"/>
    </xf>
    <xf numFmtId="0" fontId="6" fillId="3" borderId="9" xfId="0" applyFont="1" applyFill="1" applyBorder="1" applyAlignment="1">
      <alignment horizontal="lef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cellXfs>
  <cellStyles count="2">
    <cellStyle name="Hyperlink" xfId="1" builtinId="8"/>
    <cellStyle name="Normal" xfId="0" builtinId="0"/>
  </cellStyles>
  <dxfs count="0"/>
  <tableStyles count="1" defaultTableStyle="TableStyleMedium9" defaultPivotStyle="PivotStyleMedium4">
    <tableStyle name="Invisible" pivot="0" table="0" count="0" xr9:uid="{3B10995D-44FF-4BC0-83AA-6934AB85D6B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192.168.1.95:13237/register?refCode=REF362046" TargetMode="External"/><Relationship Id="rId1" Type="http://schemas.openxmlformats.org/officeDocument/2006/relationships/hyperlink" Target="mailto:user50/Enao@209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5305D-48BB-43FB-B9A5-FAFD8350EC7F}">
  <dimension ref="A1:K130"/>
  <sheetViews>
    <sheetView topLeftCell="A85" workbookViewId="0">
      <selection activeCell="A73" sqref="A73:XFD89"/>
    </sheetView>
  </sheetViews>
  <sheetFormatPr defaultRowHeight="15"/>
  <cols>
    <col min="1" max="1" width="14.77734375" customWidth="1"/>
    <col min="2" max="2" width="22.109375" customWidth="1"/>
    <col min="3" max="3" width="14.88671875" customWidth="1"/>
    <col min="4" max="4" width="21.109375" customWidth="1"/>
    <col min="5" max="5" width="48.77734375" customWidth="1"/>
    <col min="6" max="6" width="21.21875" customWidth="1"/>
    <col min="7" max="7" width="25.44140625" customWidth="1"/>
    <col min="8" max="8" width="12.21875" customWidth="1"/>
    <col min="9" max="9" width="17.33203125" customWidth="1"/>
    <col min="10" max="10" width="21.21875" customWidth="1"/>
    <col min="11" max="11" width="26.77734375" customWidth="1"/>
  </cols>
  <sheetData>
    <row r="1" spans="1:11">
      <c r="A1" s="26" t="s">
        <v>0</v>
      </c>
      <c r="B1" s="27"/>
      <c r="C1" s="27"/>
      <c r="D1" s="27"/>
      <c r="E1" s="28"/>
      <c r="F1" s="1"/>
      <c r="G1" s="1"/>
      <c r="H1" s="1"/>
      <c r="I1" s="1"/>
      <c r="J1" s="1"/>
      <c r="K1" s="1"/>
    </row>
    <row r="2" spans="1:11">
      <c r="A2" s="29"/>
      <c r="B2" s="30"/>
      <c r="C2" s="30"/>
      <c r="D2" s="30"/>
      <c r="E2" s="31"/>
      <c r="F2" s="1"/>
      <c r="G2" s="1"/>
      <c r="H2" s="1"/>
      <c r="I2" s="1"/>
      <c r="J2" s="1"/>
      <c r="K2" s="1"/>
    </row>
    <row r="3" spans="1:11">
      <c r="A3" s="32"/>
      <c r="B3" s="33"/>
      <c r="C3" s="33"/>
      <c r="D3" s="33"/>
      <c r="E3" s="34"/>
      <c r="F3" s="1"/>
      <c r="G3" s="1"/>
      <c r="H3" s="1"/>
      <c r="I3" s="1"/>
      <c r="J3" s="1"/>
      <c r="K3" s="1"/>
    </row>
    <row r="4" spans="1:11">
      <c r="A4" s="35" t="s">
        <v>1</v>
      </c>
      <c r="B4" s="36"/>
      <c r="C4" s="37"/>
      <c r="D4" s="4" t="s">
        <v>2</v>
      </c>
      <c r="E4" s="5">
        <f>COUNTIF(H11:H413,"PASS")</f>
        <v>0</v>
      </c>
      <c r="F4" s="6"/>
      <c r="G4" s="6"/>
      <c r="H4" s="6"/>
      <c r="I4" s="6"/>
      <c r="J4" s="6"/>
      <c r="K4" s="6"/>
    </row>
    <row r="5" spans="1:11">
      <c r="A5" s="35" t="s">
        <v>3</v>
      </c>
      <c r="B5" s="36"/>
      <c r="C5" s="37"/>
      <c r="D5" s="4"/>
      <c r="E5" s="5">
        <f>COUNTIF(H11:H413,"FAIL")</f>
        <v>0</v>
      </c>
      <c r="F5" s="6"/>
      <c r="G5" s="6"/>
      <c r="H5" s="6"/>
      <c r="I5" s="6"/>
      <c r="J5" s="6"/>
      <c r="K5" s="6"/>
    </row>
    <row r="6" spans="1:11">
      <c r="A6" s="35" t="s">
        <v>4</v>
      </c>
      <c r="B6" s="36"/>
      <c r="C6" s="37"/>
      <c r="D6" s="4"/>
      <c r="E6" s="5">
        <f>COUNTIF(H11:H413,"Pending")</f>
        <v>0</v>
      </c>
      <c r="G6" s="6"/>
      <c r="H6" s="6"/>
      <c r="I6" s="6"/>
      <c r="J6" s="6"/>
      <c r="K6" s="6"/>
    </row>
    <row r="7" spans="1:11">
      <c r="A7" s="35" t="s">
        <v>5</v>
      </c>
      <c r="B7" s="36"/>
      <c r="C7" s="37"/>
      <c r="D7" s="4"/>
      <c r="E7" s="5">
        <f>COUNTA(H11:H413)</f>
        <v>0</v>
      </c>
      <c r="F7" s="6"/>
      <c r="G7" s="6"/>
      <c r="H7" s="6"/>
      <c r="I7" s="6"/>
      <c r="J7" s="6"/>
      <c r="K7" s="6"/>
    </row>
    <row r="8" spans="1:11">
      <c r="A8" s="7"/>
      <c r="B8" s="8"/>
      <c r="C8" s="8"/>
      <c r="D8" s="8"/>
      <c r="E8" s="8"/>
      <c r="F8" s="9"/>
      <c r="G8" s="9"/>
      <c r="H8" s="9"/>
      <c r="I8" s="9"/>
      <c r="J8" s="9"/>
      <c r="K8" s="9"/>
    </row>
    <row r="9" spans="1:11" ht="37.9">
      <c r="A9" s="2" t="s">
        <v>6</v>
      </c>
      <c r="B9" s="2" t="s">
        <v>7</v>
      </c>
      <c r="C9" s="2" t="s">
        <v>8</v>
      </c>
      <c r="D9" s="2" t="s">
        <v>9</v>
      </c>
      <c r="E9" s="2" t="s">
        <v>10</v>
      </c>
      <c r="F9" s="2" t="s">
        <v>11</v>
      </c>
      <c r="G9" s="2" t="s">
        <v>12</v>
      </c>
      <c r="H9" s="2" t="s">
        <v>13</v>
      </c>
      <c r="I9" s="2" t="s">
        <v>14</v>
      </c>
      <c r="J9" s="2" t="s">
        <v>15</v>
      </c>
      <c r="K9" s="3" t="s">
        <v>16</v>
      </c>
    </row>
    <row r="10" spans="1:11" ht="60">
      <c r="A10" s="6" t="s">
        <v>17</v>
      </c>
      <c r="B10" s="6" t="s">
        <v>18</v>
      </c>
      <c r="C10" s="6" t="s">
        <v>19</v>
      </c>
      <c r="D10" s="6" t="s">
        <v>20</v>
      </c>
      <c r="E10" s="6" t="s">
        <v>21</v>
      </c>
      <c r="F10" s="6" t="s">
        <v>22</v>
      </c>
      <c r="G10" s="6" t="s">
        <v>23</v>
      </c>
      <c r="H10" s="6"/>
      <c r="I10" s="6"/>
      <c r="J10" s="6"/>
      <c r="K10" s="6"/>
    </row>
    <row r="11" spans="1:11" ht="45">
      <c r="A11" s="6" t="s">
        <v>24</v>
      </c>
      <c r="B11" s="6" t="s">
        <v>18</v>
      </c>
      <c r="C11" s="6" t="s">
        <v>25</v>
      </c>
      <c r="D11" s="6" t="s">
        <v>26</v>
      </c>
      <c r="E11" s="6" t="s">
        <v>27</v>
      </c>
      <c r="F11" s="6" t="s">
        <v>28</v>
      </c>
      <c r="G11" s="6" t="s">
        <v>29</v>
      </c>
      <c r="H11" s="6"/>
      <c r="I11" s="6"/>
      <c r="J11" s="6"/>
      <c r="K11" s="6"/>
    </row>
    <row r="12" spans="1:11" ht="45">
      <c r="A12" s="6" t="s">
        <v>30</v>
      </c>
      <c r="B12" s="6" t="s">
        <v>18</v>
      </c>
      <c r="C12" s="6" t="s">
        <v>31</v>
      </c>
      <c r="D12" s="6" t="s">
        <v>32</v>
      </c>
      <c r="E12" s="6" t="s">
        <v>33</v>
      </c>
      <c r="F12" s="6" t="s">
        <v>34</v>
      </c>
      <c r="G12" s="6" t="s">
        <v>35</v>
      </c>
      <c r="H12" s="6"/>
      <c r="I12" s="6"/>
      <c r="J12" s="6"/>
      <c r="K12" s="6"/>
    </row>
    <row r="13" spans="1:11" ht="90">
      <c r="A13" s="6" t="s">
        <v>36</v>
      </c>
      <c r="B13" s="6" t="s">
        <v>18</v>
      </c>
      <c r="C13" s="6" t="s">
        <v>37</v>
      </c>
      <c r="D13" s="6" t="s">
        <v>38</v>
      </c>
      <c r="E13" s="6" t="s">
        <v>39</v>
      </c>
      <c r="F13" s="6" t="s">
        <v>34</v>
      </c>
      <c r="G13" s="6" t="s">
        <v>40</v>
      </c>
      <c r="H13" s="6"/>
      <c r="I13" s="6"/>
      <c r="J13" s="6"/>
      <c r="K13" s="6"/>
    </row>
    <row r="14" spans="1:11" ht="45">
      <c r="A14" s="6" t="s">
        <v>41</v>
      </c>
      <c r="B14" s="6" t="s">
        <v>18</v>
      </c>
      <c r="C14" s="6" t="s">
        <v>42</v>
      </c>
      <c r="D14" s="6" t="s">
        <v>32</v>
      </c>
      <c r="E14" s="6" t="s">
        <v>43</v>
      </c>
      <c r="F14" s="6" t="s">
        <v>34</v>
      </c>
      <c r="G14" s="6" t="s">
        <v>44</v>
      </c>
      <c r="H14" s="6"/>
      <c r="I14" s="6"/>
      <c r="J14" s="6"/>
      <c r="K14" s="6"/>
    </row>
    <row r="15" spans="1:11" ht="45">
      <c r="A15" s="6" t="s">
        <v>45</v>
      </c>
      <c r="B15" s="6" t="s">
        <v>18</v>
      </c>
      <c r="C15" s="6" t="s">
        <v>46</v>
      </c>
      <c r="D15" s="6" t="s">
        <v>47</v>
      </c>
      <c r="E15" s="6" t="s">
        <v>48</v>
      </c>
      <c r="F15" s="6" t="s">
        <v>34</v>
      </c>
      <c r="G15" s="6" t="s">
        <v>49</v>
      </c>
      <c r="H15" s="6"/>
      <c r="I15" s="6"/>
      <c r="J15" s="6"/>
      <c r="K15" s="6"/>
    </row>
    <row r="16" spans="1:11" ht="45">
      <c r="A16" s="6" t="s">
        <v>50</v>
      </c>
      <c r="B16" s="6" t="s">
        <v>18</v>
      </c>
      <c r="C16" s="6" t="s">
        <v>51</v>
      </c>
      <c r="D16" s="6" t="s">
        <v>52</v>
      </c>
      <c r="E16" s="6" t="s">
        <v>53</v>
      </c>
      <c r="F16" s="6" t="s">
        <v>34</v>
      </c>
      <c r="G16" s="6" t="s">
        <v>54</v>
      </c>
      <c r="H16" s="6"/>
      <c r="I16" s="6"/>
      <c r="J16" s="6"/>
      <c r="K16" s="6"/>
    </row>
    <row r="17" spans="1:11" ht="30">
      <c r="A17" s="6" t="s">
        <v>55</v>
      </c>
      <c r="B17" s="6" t="s">
        <v>18</v>
      </c>
      <c r="C17" s="6" t="s">
        <v>56</v>
      </c>
      <c r="D17" s="6" t="s">
        <v>52</v>
      </c>
      <c r="E17" s="6" t="s">
        <v>57</v>
      </c>
      <c r="F17" s="6" t="s">
        <v>34</v>
      </c>
      <c r="G17" s="6" t="s">
        <v>58</v>
      </c>
      <c r="H17" s="6"/>
      <c r="I17" s="6"/>
      <c r="J17" s="6"/>
      <c r="K17" s="6"/>
    </row>
    <row r="18" spans="1:11" ht="30">
      <c r="A18" s="6" t="s">
        <v>59</v>
      </c>
      <c r="B18" s="6" t="s">
        <v>18</v>
      </c>
      <c r="C18" s="6" t="s">
        <v>60</v>
      </c>
      <c r="D18" s="6" t="s">
        <v>52</v>
      </c>
      <c r="E18" s="6" t="s">
        <v>61</v>
      </c>
      <c r="F18" s="6" t="s">
        <v>34</v>
      </c>
      <c r="G18" s="6" t="s">
        <v>62</v>
      </c>
      <c r="H18" s="6"/>
      <c r="I18" s="6"/>
      <c r="J18" s="6"/>
      <c r="K18" s="6"/>
    </row>
    <row r="19" spans="1:11" ht="30">
      <c r="A19" s="6" t="s">
        <v>63</v>
      </c>
      <c r="B19" s="6" t="s">
        <v>18</v>
      </c>
      <c r="C19" s="6" t="s">
        <v>64</v>
      </c>
      <c r="D19" s="6" t="s">
        <v>52</v>
      </c>
      <c r="E19" s="6" t="s">
        <v>65</v>
      </c>
      <c r="F19" s="6" t="s">
        <v>34</v>
      </c>
      <c r="G19" s="6" t="s">
        <v>66</v>
      </c>
      <c r="H19" s="6"/>
      <c r="I19" s="6"/>
      <c r="J19" s="6"/>
      <c r="K19" s="6"/>
    </row>
    <row r="20" spans="1:11" ht="30">
      <c r="A20" s="6" t="s">
        <v>67</v>
      </c>
      <c r="B20" s="6" t="s">
        <v>18</v>
      </c>
      <c r="C20" s="6" t="s">
        <v>68</v>
      </c>
      <c r="D20" s="6" t="s">
        <v>69</v>
      </c>
      <c r="E20" s="6" t="s">
        <v>70</v>
      </c>
      <c r="F20" s="6" t="s">
        <v>34</v>
      </c>
      <c r="G20" s="6" t="s">
        <v>71</v>
      </c>
      <c r="H20" s="6"/>
      <c r="I20" s="6"/>
      <c r="J20" s="6"/>
      <c r="K20" s="6"/>
    </row>
    <row r="21" spans="1:11" ht="45">
      <c r="A21" s="6" t="s">
        <v>72</v>
      </c>
      <c r="B21" s="6" t="s">
        <v>73</v>
      </c>
      <c r="C21" s="6" t="s">
        <v>74</v>
      </c>
      <c r="D21" s="6" t="s">
        <v>75</v>
      </c>
      <c r="E21" s="6" t="s">
        <v>76</v>
      </c>
      <c r="F21" s="6" t="s">
        <v>34</v>
      </c>
      <c r="G21" s="6" t="s">
        <v>77</v>
      </c>
      <c r="H21" s="6"/>
      <c r="I21" s="6"/>
      <c r="J21" s="6"/>
      <c r="K21" s="6"/>
    </row>
    <row r="22" spans="1:11" ht="30">
      <c r="A22" s="6" t="s">
        <v>78</v>
      </c>
      <c r="B22" s="6" t="s">
        <v>73</v>
      </c>
      <c r="C22" s="6" t="s">
        <v>79</v>
      </c>
      <c r="D22" s="6" t="s">
        <v>80</v>
      </c>
      <c r="E22" s="6" t="s">
        <v>81</v>
      </c>
      <c r="F22" s="6"/>
      <c r="G22" s="6" t="s">
        <v>82</v>
      </c>
      <c r="H22" s="6"/>
      <c r="I22" s="6"/>
      <c r="J22" s="6"/>
      <c r="K22" s="6"/>
    </row>
    <row r="23" spans="1:11" ht="30">
      <c r="A23" s="6" t="s">
        <v>83</v>
      </c>
      <c r="B23" s="6" t="s">
        <v>73</v>
      </c>
      <c r="C23" s="6" t="s">
        <v>84</v>
      </c>
      <c r="D23" s="6" t="s">
        <v>85</v>
      </c>
      <c r="E23" s="6" t="s">
        <v>81</v>
      </c>
      <c r="F23" s="6" t="s">
        <v>86</v>
      </c>
      <c r="G23" s="6" t="s">
        <v>87</v>
      </c>
      <c r="H23" s="6"/>
      <c r="I23" s="6"/>
      <c r="J23" s="6"/>
      <c r="K23" s="6"/>
    </row>
    <row r="24" spans="1:11" ht="30">
      <c r="A24" s="6" t="s">
        <v>88</v>
      </c>
      <c r="B24" s="6" t="s">
        <v>89</v>
      </c>
      <c r="C24" s="6" t="s">
        <v>90</v>
      </c>
      <c r="D24" s="6" t="s">
        <v>91</v>
      </c>
      <c r="E24" s="6" t="s">
        <v>92</v>
      </c>
      <c r="F24" s="6" t="s">
        <v>93</v>
      </c>
      <c r="G24" s="6" t="s">
        <v>94</v>
      </c>
      <c r="H24" s="6"/>
      <c r="I24" s="6"/>
      <c r="J24" s="6"/>
      <c r="K24" s="6"/>
    </row>
    <row r="25" spans="1:11" ht="30">
      <c r="A25" s="6" t="s">
        <v>95</v>
      </c>
      <c r="B25" s="6" t="s">
        <v>89</v>
      </c>
      <c r="C25" s="6" t="s">
        <v>96</v>
      </c>
      <c r="D25" s="6" t="s">
        <v>97</v>
      </c>
      <c r="E25" s="6" t="s">
        <v>81</v>
      </c>
      <c r="F25" s="6"/>
      <c r="G25" s="6" t="s">
        <v>98</v>
      </c>
      <c r="H25" s="6"/>
      <c r="I25" s="6"/>
      <c r="J25" s="6"/>
      <c r="K25" s="6"/>
    </row>
    <row r="26" spans="1:11" ht="30">
      <c r="A26" s="6" t="s">
        <v>99</v>
      </c>
      <c r="B26" s="6" t="s">
        <v>89</v>
      </c>
      <c r="C26" s="6" t="s">
        <v>100</v>
      </c>
      <c r="D26" s="6" t="s">
        <v>47</v>
      </c>
      <c r="E26" s="6" t="s">
        <v>101</v>
      </c>
      <c r="F26" s="6" t="s">
        <v>34</v>
      </c>
      <c r="G26" s="6" t="s">
        <v>102</v>
      </c>
      <c r="H26" s="6"/>
      <c r="I26" s="6"/>
      <c r="J26" s="6"/>
      <c r="K26" s="6"/>
    </row>
    <row r="27" spans="1:11" ht="45">
      <c r="A27" s="6" t="s">
        <v>103</v>
      </c>
      <c r="B27" s="6" t="s">
        <v>89</v>
      </c>
      <c r="C27" s="6" t="s">
        <v>104</v>
      </c>
      <c r="D27" s="6" t="s">
        <v>105</v>
      </c>
      <c r="E27" s="6" t="s">
        <v>106</v>
      </c>
      <c r="F27" s="6" t="s">
        <v>107</v>
      </c>
      <c r="G27" s="6" t="s">
        <v>108</v>
      </c>
      <c r="H27" s="6"/>
      <c r="I27" s="6"/>
      <c r="J27" s="6"/>
      <c r="K27" s="6"/>
    </row>
    <row r="28" spans="1:11" ht="45">
      <c r="A28" s="6" t="s">
        <v>109</v>
      </c>
      <c r="B28" s="6" t="s">
        <v>89</v>
      </c>
      <c r="C28" s="6" t="s">
        <v>110</v>
      </c>
      <c r="D28" s="6" t="s">
        <v>111</v>
      </c>
      <c r="E28" s="6" t="s">
        <v>112</v>
      </c>
      <c r="F28" s="6" t="s">
        <v>113</v>
      </c>
      <c r="G28" s="6" t="s">
        <v>114</v>
      </c>
      <c r="H28" s="6"/>
      <c r="I28" s="6"/>
      <c r="J28" s="6"/>
      <c r="K28" s="6"/>
    </row>
    <row r="29" spans="1:11" ht="30">
      <c r="A29" s="6" t="s">
        <v>115</v>
      </c>
      <c r="B29" s="6" t="s">
        <v>89</v>
      </c>
      <c r="C29" s="6" t="s">
        <v>116</v>
      </c>
      <c r="D29" s="6" t="s">
        <v>117</v>
      </c>
      <c r="E29" s="6" t="s">
        <v>118</v>
      </c>
      <c r="F29" s="6"/>
      <c r="G29" s="6" t="s">
        <v>119</v>
      </c>
      <c r="H29" s="6"/>
      <c r="I29" s="6"/>
      <c r="J29" s="6"/>
      <c r="K29" s="6"/>
    </row>
    <row r="30" spans="1:11" ht="30">
      <c r="A30" s="6" t="s">
        <v>120</v>
      </c>
      <c r="B30" s="6" t="s">
        <v>89</v>
      </c>
      <c r="C30" s="6" t="s">
        <v>121</v>
      </c>
      <c r="D30" s="6" t="s">
        <v>122</v>
      </c>
      <c r="E30" s="6" t="s">
        <v>123</v>
      </c>
      <c r="F30" s="6" t="s">
        <v>34</v>
      </c>
      <c r="G30" s="6" t="s">
        <v>124</v>
      </c>
      <c r="H30" s="6"/>
      <c r="I30" s="6"/>
      <c r="J30" s="6"/>
      <c r="K30" s="6"/>
    </row>
    <row r="31" spans="1:11" ht="45">
      <c r="A31" s="6" t="s">
        <v>125</v>
      </c>
      <c r="B31" s="6" t="s">
        <v>126</v>
      </c>
      <c r="C31" s="6" t="s">
        <v>127</v>
      </c>
      <c r="D31" s="6" t="s">
        <v>47</v>
      </c>
      <c r="E31" s="6" t="s">
        <v>128</v>
      </c>
      <c r="F31" s="6" t="s">
        <v>129</v>
      </c>
      <c r="G31" s="6" t="s">
        <v>130</v>
      </c>
      <c r="H31" s="6"/>
      <c r="I31" s="6"/>
      <c r="J31" s="6"/>
      <c r="K31" s="6"/>
    </row>
    <row r="32" spans="1:11" ht="30">
      <c r="A32" s="6" t="s">
        <v>131</v>
      </c>
      <c r="B32" s="6" t="s">
        <v>126</v>
      </c>
      <c r="C32" s="6" t="s">
        <v>132</v>
      </c>
      <c r="D32" s="6" t="s">
        <v>133</v>
      </c>
      <c r="E32" s="6" t="s">
        <v>134</v>
      </c>
      <c r="F32" s="6" t="s">
        <v>135</v>
      </c>
      <c r="G32" s="6" t="s">
        <v>136</v>
      </c>
      <c r="H32" s="6"/>
      <c r="I32" s="6"/>
      <c r="J32" s="6"/>
      <c r="K32" s="6"/>
    </row>
    <row r="33" spans="1:11" ht="30">
      <c r="A33" s="6" t="s">
        <v>137</v>
      </c>
      <c r="B33" s="6" t="s">
        <v>126</v>
      </c>
      <c r="C33" s="6" t="s">
        <v>138</v>
      </c>
      <c r="D33" s="6" t="s">
        <v>133</v>
      </c>
      <c r="E33" s="6" t="s">
        <v>139</v>
      </c>
      <c r="F33" s="6" t="s">
        <v>140</v>
      </c>
      <c r="G33" s="6" t="s">
        <v>141</v>
      </c>
      <c r="H33" s="6"/>
      <c r="I33" s="6"/>
      <c r="J33" s="6"/>
      <c r="K33" s="6"/>
    </row>
    <row r="34" spans="1:11" ht="30">
      <c r="A34" s="6" t="s">
        <v>142</v>
      </c>
      <c r="B34" s="6" t="s">
        <v>126</v>
      </c>
      <c r="C34" s="6" t="s">
        <v>143</v>
      </c>
      <c r="D34" s="6" t="s">
        <v>133</v>
      </c>
      <c r="E34" s="6" t="s">
        <v>144</v>
      </c>
      <c r="F34" s="6" t="s">
        <v>145</v>
      </c>
      <c r="G34" s="6" t="s">
        <v>146</v>
      </c>
      <c r="H34" s="6"/>
      <c r="I34" s="6"/>
      <c r="J34" s="6"/>
      <c r="K34" s="6"/>
    </row>
    <row r="35" spans="1:11" ht="45">
      <c r="A35" s="6" t="s">
        <v>147</v>
      </c>
      <c r="B35" s="6" t="s">
        <v>148</v>
      </c>
      <c r="C35" s="6" t="s">
        <v>149</v>
      </c>
      <c r="D35" s="6" t="s">
        <v>150</v>
      </c>
      <c r="E35" s="6" t="s">
        <v>81</v>
      </c>
      <c r="F35" s="11">
        <v>34683</v>
      </c>
      <c r="G35" s="6" t="s">
        <v>151</v>
      </c>
      <c r="H35" s="6"/>
      <c r="I35" s="6"/>
      <c r="J35" s="6"/>
      <c r="K35" s="6"/>
    </row>
    <row r="36" spans="1:11" ht="30">
      <c r="A36" s="6" t="s">
        <v>152</v>
      </c>
      <c r="B36" s="6" t="s">
        <v>148</v>
      </c>
      <c r="C36" s="6" t="s">
        <v>153</v>
      </c>
      <c r="D36" s="6" t="s">
        <v>47</v>
      </c>
      <c r="E36" s="6" t="s">
        <v>154</v>
      </c>
      <c r="F36" s="6" t="s">
        <v>34</v>
      </c>
      <c r="G36" s="6" t="s">
        <v>155</v>
      </c>
      <c r="H36" s="6"/>
      <c r="I36" s="6"/>
      <c r="J36" s="6"/>
      <c r="K36" s="6"/>
    </row>
    <row r="37" spans="1:11" ht="30">
      <c r="A37" s="6" t="s">
        <v>156</v>
      </c>
      <c r="B37" s="6" t="s">
        <v>148</v>
      </c>
      <c r="C37" s="6" t="s">
        <v>157</v>
      </c>
      <c r="D37" s="6" t="s">
        <v>158</v>
      </c>
      <c r="E37" s="6" t="s">
        <v>159</v>
      </c>
      <c r="F37" s="11">
        <v>32874</v>
      </c>
      <c r="G37" s="6" t="s">
        <v>160</v>
      </c>
      <c r="H37" s="6"/>
      <c r="I37" s="6"/>
      <c r="J37" s="6"/>
      <c r="K37" s="6"/>
    </row>
    <row r="38" spans="1:11" ht="30">
      <c r="A38" s="6" t="s">
        <v>161</v>
      </c>
      <c r="B38" s="6" t="s">
        <v>148</v>
      </c>
      <c r="C38" s="6" t="s">
        <v>162</v>
      </c>
      <c r="D38" s="6" t="s">
        <v>163</v>
      </c>
      <c r="E38" s="6" t="s">
        <v>164</v>
      </c>
      <c r="F38" s="6" t="s">
        <v>165</v>
      </c>
      <c r="G38" s="6" t="s">
        <v>166</v>
      </c>
      <c r="H38" s="6"/>
      <c r="I38" s="6"/>
      <c r="J38" s="6"/>
      <c r="K38" s="6"/>
    </row>
    <row r="39" spans="1:11" ht="30">
      <c r="A39" s="6" t="s">
        <v>167</v>
      </c>
      <c r="B39" s="6" t="s">
        <v>148</v>
      </c>
      <c r="C39" s="6" t="s">
        <v>168</v>
      </c>
      <c r="D39" s="6" t="s">
        <v>169</v>
      </c>
      <c r="E39" s="6" t="s">
        <v>170</v>
      </c>
      <c r="F39" s="6"/>
      <c r="G39" s="6" t="s">
        <v>166</v>
      </c>
      <c r="H39" s="6"/>
      <c r="I39" s="6"/>
      <c r="J39" s="6"/>
      <c r="K39" s="6"/>
    </row>
    <row r="40" spans="1:11" ht="30">
      <c r="A40" s="6" t="s">
        <v>171</v>
      </c>
      <c r="B40" s="6" t="s">
        <v>148</v>
      </c>
      <c r="C40" s="6" t="s">
        <v>172</v>
      </c>
      <c r="D40" s="6" t="s">
        <v>133</v>
      </c>
      <c r="E40" s="6" t="s">
        <v>173</v>
      </c>
      <c r="F40" s="6"/>
      <c r="G40" s="6" t="s">
        <v>174</v>
      </c>
      <c r="H40" s="6"/>
      <c r="I40" s="6"/>
      <c r="J40" s="6"/>
      <c r="K40" s="6"/>
    </row>
    <row r="41" spans="1:11" ht="45">
      <c r="A41" s="6" t="s">
        <v>175</v>
      </c>
      <c r="B41" s="6" t="s">
        <v>176</v>
      </c>
      <c r="C41" s="6" t="s">
        <v>177</v>
      </c>
      <c r="D41" s="6" t="s">
        <v>178</v>
      </c>
      <c r="E41" s="6" t="s">
        <v>179</v>
      </c>
      <c r="F41" s="12"/>
      <c r="G41" s="6" t="s">
        <v>180</v>
      </c>
      <c r="H41" s="6"/>
      <c r="I41" s="6"/>
      <c r="J41" s="6"/>
      <c r="K41" s="6"/>
    </row>
    <row r="42" spans="1:11" ht="45">
      <c r="A42" s="6" t="s">
        <v>181</v>
      </c>
      <c r="B42" s="6" t="s">
        <v>176</v>
      </c>
      <c r="C42" s="6" t="s">
        <v>182</v>
      </c>
      <c r="D42" s="6" t="s">
        <v>183</v>
      </c>
      <c r="E42" s="6" t="s">
        <v>184</v>
      </c>
      <c r="F42" s="12"/>
      <c r="G42" s="6" t="s">
        <v>185</v>
      </c>
      <c r="H42" s="6"/>
      <c r="I42" s="6"/>
      <c r="J42" s="6"/>
      <c r="K42" s="6"/>
    </row>
    <row r="43" spans="1:11" ht="30">
      <c r="A43" s="6" t="s">
        <v>186</v>
      </c>
      <c r="B43" s="6" t="s">
        <v>187</v>
      </c>
      <c r="C43" s="6" t="s">
        <v>188</v>
      </c>
      <c r="D43" s="6" t="s">
        <v>47</v>
      </c>
      <c r="E43" s="6" t="s">
        <v>189</v>
      </c>
      <c r="F43" s="6">
        <v>987654321</v>
      </c>
      <c r="G43" s="6" t="s">
        <v>190</v>
      </c>
      <c r="H43" s="6"/>
      <c r="I43" s="6"/>
      <c r="J43" s="6"/>
      <c r="K43" s="6"/>
    </row>
    <row r="44" spans="1:11" ht="30">
      <c r="A44" s="6" t="s">
        <v>191</v>
      </c>
      <c r="B44" s="6" t="s">
        <v>187</v>
      </c>
      <c r="C44" s="6" t="s">
        <v>192</v>
      </c>
      <c r="D44" s="6" t="s">
        <v>193</v>
      </c>
      <c r="E44" s="6" t="s">
        <v>194</v>
      </c>
      <c r="F44" s="6"/>
      <c r="G44" s="6" t="s">
        <v>195</v>
      </c>
      <c r="H44" s="6"/>
      <c r="I44" s="6"/>
      <c r="J44" s="6"/>
      <c r="K44" s="6"/>
    </row>
    <row r="45" spans="1:11" ht="30">
      <c r="A45" s="6" t="s">
        <v>196</v>
      </c>
      <c r="B45" s="6" t="s">
        <v>187</v>
      </c>
      <c r="C45" s="6" t="s">
        <v>197</v>
      </c>
      <c r="D45" s="6" t="s">
        <v>193</v>
      </c>
      <c r="E45" s="6" t="s">
        <v>198</v>
      </c>
      <c r="F45" s="6">
        <v>12345</v>
      </c>
      <c r="G45" s="6" t="s">
        <v>199</v>
      </c>
      <c r="H45" s="6"/>
      <c r="I45" s="6"/>
      <c r="J45" s="6"/>
      <c r="K45" s="6"/>
    </row>
    <row r="46" spans="1:11" ht="30">
      <c r="A46" s="6" t="s">
        <v>200</v>
      </c>
      <c r="B46" s="6" t="s">
        <v>187</v>
      </c>
      <c r="C46" s="6" t="s">
        <v>201</v>
      </c>
      <c r="D46" s="6" t="s">
        <v>193</v>
      </c>
      <c r="E46" s="6" t="s">
        <v>202</v>
      </c>
      <c r="F46" s="6"/>
      <c r="G46" s="6" t="s">
        <v>203</v>
      </c>
      <c r="H46" s="6"/>
      <c r="I46" s="6"/>
      <c r="J46" s="6"/>
      <c r="K46" s="6"/>
    </row>
    <row r="47" spans="1:11" ht="45">
      <c r="A47" s="6" t="s">
        <v>204</v>
      </c>
      <c r="B47" s="6" t="s">
        <v>187</v>
      </c>
      <c r="C47" s="6" t="s">
        <v>205</v>
      </c>
      <c r="D47" s="6" t="s">
        <v>193</v>
      </c>
      <c r="E47" s="6" t="s">
        <v>206</v>
      </c>
      <c r="F47" s="10"/>
      <c r="G47" s="6" t="s">
        <v>207</v>
      </c>
      <c r="H47" s="6"/>
      <c r="I47" s="6"/>
      <c r="J47" s="6"/>
      <c r="K47" s="6"/>
    </row>
    <row r="48" spans="1:11" ht="45">
      <c r="A48" s="6" t="s">
        <v>208</v>
      </c>
      <c r="B48" s="6" t="s">
        <v>187</v>
      </c>
      <c r="C48" s="6" t="s">
        <v>209</v>
      </c>
      <c r="D48" s="6" t="s">
        <v>133</v>
      </c>
      <c r="E48" s="6" t="s">
        <v>210</v>
      </c>
      <c r="F48" s="6"/>
      <c r="G48" s="6" t="s">
        <v>211</v>
      </c>
      <c r="H48" s="6"/>
      <c r="I48" s="6"/>
      <c r="J48" s="6"/>
      <c r="K48" s="6"/>
    </row>
    <row r="49" spans="1:11" ht="105">
      <c r="A49" s="1"/>
      <c r="B49" s="1" t="s">
        <v>212</v>
      </c>
      <c r="C49" s="1" t="s">
        <v>213</v>
      </c>
      <c r="D49" s="1" t="s">
        <v>214</v>
      </c>
      <c r="E49" s="1" t="s">
        <v>215</v>
      </c>
      <c r="G49" s="1" t="s">
        <v>216</v>
      </c>
    </row>
    <row r="50" spans="1:11" ht="105">
      <c r="A50" s="1"/>
      <c r="B50" s="1" t="s">
        <v>217</v>
      </c>
      <c r="C50" s="1" t="s">
        <v>218</v>
      </c>
      <c r="D50" s="1" t="s">
        <v>219</v>
      </c>
      <c r="E50" s="1" t="s">
        <v>220</v>
      </c>
      <c r="G50" s="1" t="s">
        <v>221</v>
      </c>
    </row>
    <row r="51" spans="1:11" ht="45">
      <c r="A51" s="6" t="s">
        <v>222</v>
      </c>
      <c r="B51" s="6" t="s">
        <v>223</v>
      </c>
      <c r="C51" s="6" t="s">
        <v>224</v>
      </c>
      <c r="D51" s="6" t="s">
        <v>225</v>
      </c>
      <c r="E51" s="6" t="s">
        <v>226</v>
      </c>
      <c r="F51" s="6"/>
      <c r="G51" s="6" t="s">
        <v>227</v>
      </c>
      <c r="H51" s="6"/>
      <c r="I51" s="6"/>
      <c r="J51" s="6"/>
      <c r="K51" s="6"/>
    </row>
    <row r="52" spans="1:11" ht="45">
      <c r="A52" s="6" t="s">
        <v>228</v>
      </c>
      <c r="B52" s="6" t="s">
        <v>229</v>
      </c>
      <c r="C52" s="6" t="s">
        <v>230</v>
      </c>
      <c r="D52" s="6"/>
      <c r="E52" s="6" t="s">
        <v>231</v>
      </c>
      <c r="F52" s="6"/>
      <c r="G52" s="6" t="s">
        <v>232</v>
      </c>
      <c r="H52" s="6"/>
      <c r="I52" s="6"/>
      <c r="J52" s="6"/>
      <c r="K52" s="6"/>
    </row>
    <row r="53" spans="1:11">
      <c r="A53" s="6"/>
      <c r="B53" s="6" t="s">
        <v>229</v>
      </c>
      <c r="C53" s="6" t="s">
        <v>233</v>
      </c>
      <c r="D53" s="6"/>
      <c r="E53" s="6" t="s">
        <v>234</v>
      </c>
      <c r="F53" s="6"/>
      <c r="G53" s="6" t="s">
        <v>235</v>
      </c>
      <c r="H53" s="6"/>
      <c r="I53" s="6"/>
      <c r="J53" s="6"/>
      <c r="K53" s="6"/>
    </row>
    <row r="54" spans="1:11" ht="60">
      <c r="A54" s="6"/>
      <c r="B54" s="6" t="s">
        <v>229</v>
      </c>
      <c r="C54" s="6" t="s">
        <v>236</v>
      </c>
      <c r="D54" s="6" t="s">
        <v>237</v>
      </c>
      <c r="E54" s="6" t="s">
        <v>238</v>
      </c>
      <c r="F54" s="6"/>
      <c r="G54" s="6" t="s">
        <v>239</v>
      </c>
      <c r="H54" s="6"/>
      <c r="I54" s="6"/>
      <c r="J54" s="6"/>
      <c r="K54" s="6"/>
    </row>
    <row r="55" spans="1:11" ht="30">
      <c r="A55" s="6" t="s">
        <v>240</v>
      </c>
      <c r="B55" s="6" t="s">
        <v>241</v>
      </c>
      <c r="C55" s="6" t="s">
        <v>242</v>
      </c>
      <c r="D55" s="6" t="s">
        <v>47</v>
      </c>
      <c r="E55" s="6" t="s">
        <v>243</v>
      </c>
      <c r="F55" s="6"/>
      <c r="G55" s="6" t="s">
        <v>244</v>
      </c>
      <c r="H55" s="6"/>
      <c r="I55" s="6"/>
      <c r="J55" s="6"/>
      <c r="K55" s="6"/>
    </row>
    <row r="56" spans="1:11" ht="30">
      <c r="A56" s="6" t="s">
        <v>245</v>
      </c>
      <c r="B56" s="6" t="s">
        <v>241</v>
      </c>
      <c r="C56" s="6" t="s">
        <v>246</v>
      </c>
      <c r="D56" s="6" t="s">
        <v>247</v>
      </c>
      <c r="E56" s="6" t="s">
        <v>248</v>
      </c>
      <c r="F56" s="6"/>
      <c r="G56" s="6" t="s">
        <v>249</v>
      </c>
      <c r="H56" s="6"/>
      <c r="I56" s="6"/>
      <c r="J56" s="6"/>
      <c r="K56" s="6"/>
    </row>
    <row r="57" spans="1:11" ht="30">
      <c r="A57" s="6" t="s">
        <v>250</v>
      </c>
      <c r="B57" s="6" t="s">
        <v>241</v>
      </c>
      <c r="C57" s="6" t="s">
        <v>251</v>
      </c>
      <c r="D57" s="6" t="s">
        <v>252</v>
      </c>
      <c r="E57" s="6" t="s">
        <v>253</v>
      </c>
      <c r="F57" s="6" t="s">
        <v>254</v>
      </c>
      <c r="G57" s="6" t="s">
        <v>255</v>
      </c>
      <c r="H57" s="6"/>
      <c r="I57" s="6"/>
      <c r="J57" s="6"/>
      <c r="K57" s="6"/>
    </row>
    <row r="58" spans="1:11" ht="45">
      <c r="A58" s="6" t="s">
        <v>256</v>
      </c>
      <c r="B58" s="6" t="s">
        <v>241</v>
      </c>
      <c r="C58" s="6" t="s">
        <v>257</v>
      </c>
      <c r="D58" s="6" t="s">
        <v>258</v>
      </c>
      <c r="E58" s="6" t="s">
        <v>259</v>
      </c>
      <c r="F58" s="6" t="s">
        <v>260</v>
      </c>
      <c r="G58" s="6" t="s">
        <v>261</v>
      </c>
      <c r="H58" s="6"/>
      <c r="I58" s="6"/>
      <c r="J58" s="6"/>
      <c r="K58" s="6"/>
    </row>
    <row r="59" spans="1:11" ht="45">
      <c r="A59" s="6" t="s">
        <v>262</v>
      </c>
      <c r="B59" s="6" t="s">
        <v>241</v>
      </c>
      <c r="C59" s="6" t="s">
        <v>263</v>
      </c>
      <c r="D59" s="6" t="s">
        <v>258</v>
      </c>
      <c r="E59" s="6" t="s">
        <v>264</v>
      </c>
      <c r="F59" s="10" t="s">
        <v>265</v>
      </c>
      <c r="G59" s="6" t="s">
        <v>266</v>
      </c>
      <c r="H59" s="6"/>
      <c r="I59" s="6"/>
      <c r="J59" s="6"/>
      <c r="K59" s="6"/>
    </row>
    <row r="60" spans="1:11">
      <c r="A60" s="6"/>
      <c r="B60" s="6"/>
      <c r="C60" s="6"/>
      <c r="D60" s="6"/>
      <c r="E60" s="6"/>
      <c r="F60" s="10"/>
      <c r="G60" s="6"/>
      <c r="H60" s="6"/>
      <c r="I60" s="6"/>
      <c r="J60" s="6"/>
      <c r="K60" s="6"/>
    </row>
    <row r="61" spans="1:11" ht="45">
      <c r="A61" s="6" t="s">
        <v>267</v>
      </c>
      <c r="B61" s="6" t="s">
        <v>268</v>
      </c>
      <c r="C61" s="6" t="s">
        <v>269</v>
      </c>
      <c r="D61" s="6" t="s">
        <v>270</v>
      </c>
      <c r="E61" s="6" t="s">
        <v>271</v>
      </c>
      <c r="F61" s="12"/>
      <c r="G61" s="6" t="s">
        <v>272</v>
      </c>
      <c r="H61" s="6"/>
      <c r="I61" s="6"/>
      <c r="J61" s="6"/>
      <c r="K61" s="6"/>
    </row>
    <row r="62" spans="1:11" ht="45">
      <c r="A62" s="6" t="s">
        <v>273</v>
      </c>
      <c r="B62" s="6" t="s">
        <v>268</v>
      </c>
      <c r="C62" s="6" t="s">
        <v>274</v>
      </c>
      <c r="D62" s="6" t="s">
        <v>275</v>
      </c>
      <c r="E62" s="6" t="s">
        <v>276</v>
      </c>
      <c r="F62" s="6" t="s">
        <v>277</v>
      </c>
      <c r="G62" s="6" t="s">
        <v>278</v>
      </c>
      <c r="H62" s="6"/>
      <c r="I62" s="6"/>
      <c r="J62" s="6"/>
      <c r="K62" s="6"/>
    </row>
    <row r="63" spans="1:11" ht="45">
      <c r="A63" s="6" t="s">
        <v>279</v>
      </c>
      <c r="B63" s="6" t="s">
        <v>268</v>
      </c>
      <c r="C63" s="6" t="s">
        <v>280</v>
      </c>
      <c r="D63" s="6" t="s">
        <v>281</v>
      </c>
      <c r="E63" s="6" t="s">
        <v>282</v>
      </c>
      <c r="F63" s="6" t="s">
        <v>283</v>
      </c>
      <c r="G63" s="6" t="s">
        <v>284</v>
      </c>
      <c r="H63" s="6"/>
      <c r="I63" s="6"/>
      <c r="J63" s="6"/>
      <c r="K63" s="6"/>
    </row>
    <row r="64" spans="1:11" ht="45">
      <c r="A64" s="6" t="s">
        <v>285</v>
      </c>
      <c r="B64" s="6" t="s">
        <v>286</v>
      </c>
      <c r="C64" s="6" t="s">
        <v>287</v>
      </c>
      <c r="D64" s="6" t="s">
        <v>47</v>
      </c>
      <c r="E64" s="6" t="s">
        <v>288</v>
      </c>
      <c r="F64" s="6" t="s">
        <v>34</v>
      </c>
      <c r="G64" s="6" t="s">
        <v>289</v>
      </c>
      <c r="H64" s="6"/>
      <c r="I64" s="6"/>
      <c r="J64" s="6"/>
      <c r="K64" s="6"/>
    </row>
    <row r="65" spans="1:11" ht="45">
      <c r="A65" s="6" t="s">
        <v>290</v>
      </c>
      <c r="B65" s="6" t="s">
        <v>286</v>
      </c>
      <c r="C65" s="6" t="s">
        <v>291</v>
      </c>
      <c r="D65" s="6" t="s">
        <v>292</v>
      </c>
      <c r="E65" s="6" t="s">
        <v>293</v>
      </c>
      <c r="F65" s="6" t="s">
        <v>294</v>
      </c>
      <c r="G65" s="6" t="s">
        <v>295</v>
      </c>
      <c r="H65" s="6"/>
      <c r="I65" s="6"/>
      <c r="J65" s="6"/>
      <c r="K65" s="6"/>
    </row>
    <row r="66" spans="1:11" ht="45">
      <c r="A66" s="6" t="s">
        <v>296</v>
      </c>
      <c r="B66" s="6" t="s">
        <v>286</v>
      </c>
      <c r="C66" s="6" t="s">
        <v>297</v>
      </c>
      <c r="D66" s="6" t="s">
        <v>298</v>
      </c>
      <c r="E66" s="6" t="s">
        <v>299</v>
      </c>
      <c r="F66" s="6" t="s">
        <v>300</v>
      </c>
      <c r="G66" s="6" t="s">
        <v>301</v>
      </c>
      <c r="H66" s="6"/>
      <c r="I66" s="6"/>
      <c r="J66" s="6"/>
      <c r="K66" s="6"/>
    </row>
    <row r="67" spans="1:11" ht="45">
      <c r="A67" s="6" t="s">
        <v>302</v>
      </c>
      <c r="B67" s="6" t="s">
        <v>286</v>
      </c>
      <c r="C67" s="6" t="s">
        <v>303</v>
      </c>
      <c r="D67" s="6" t="s">
        <v>304</v>
      </c>
      <c r="E67" s="6" t="s">
        <v>293</v>
      </c>
      <c r="F67" s="6" t="s">
        <v>305</v>
      </c>
      <c r="G67" s="6" t="s">
        <v>306</v>
      </c>
      <c r="H67" s="6"/>
      <c r="I67" s="6"/>
      <c r="J67" s="6"/>
      <c r="K67" s="6"/>
    </row>
    <row r="68" spans="1:11" ht="60">
      <c r="A68" s="6" t="s">
        <v>307</v>
      </c>
      <c r="B68" s="6" t="s">
        <v>286</v>
      </c>
      <c r="C68" s="6" t="s">
        <v>308</v>
      </c>
      <c r="D68" s="6" t="s">
        <v>309</v>
      </c>
      <c r="E68" s="6" t="s">
        <v>310</v>
      </c>
      <c r="F68" s="6" t="s">
        <v>311</v>
      </c>
      <c r="G68" s="6" t="s">
        <v>312</v>
      </c>
      <c r="H68" s="6"/>
      <c r="I68" s="6"/>
      <c r="J68" s="6"/>
      <c r="K68" s="6"/>
    </row>
    <row r="69" spans="1:11" ht="45">
      <c r="A69" s="6" t="s">
        <v>313</v>
      </c>
      <c r="B69" s="6" t="s">
        <v>286</v>
      </c>
      <c r="C69" s="6" t="s">
        <v>314</v>
      </c>
      <c r="D69" s="6" t="s">
        <v>315</v>
      </c>
      <c r="E69" s="6" t="s">
        <v>316</v>
      </c>
      <c r="F69" s="6" t="s">
        <v>305</v>
      </c>
      <c r="G69" s="6" t="s">
        <v>317</v>
      </c>
      <c r="H69" s="6"/>
      <c r="I69" s="6"/>
      <c r="J69" s="6"/>
      <c r="K69" s="6"/>
    </row>
    <row r="70" spans="1:11" ht="45">
      <c r="A70" s="6" t="s">
        <v>318</v>
      </c>
      <c r="B70" s="6" t="s">
        <v>286</v>
      </c>
      <c r="C70" s="6" t="s">
        <v>319</v>
      </c>
      <c r="D70" s="6" t="s">
        <v>320</v>
      </c>
      <c r="E70" s="6" t="s">
        <v>321</v>
      </c>
      <c r="F70" s="6" t="s">
        <v>322</v>
      </c>
      <c r="G70" s="6" t="s">
        <v>323</v>
      </c>
      <c r="H70" s="6"/>
      <c r="I70" s="6"/>
      <c r="J70" s="6"/>
      <c r="K70" s="6"/>
    </row>
    <row r="71" spans="1:11" ht="30">
      <c r="A71" s="6" t="s">
        <v>324</v>
      </c>
      <c r="B71" s="6" t="s">
        <v>286</v>
      </c>
      <c r="C71" s="6" t="s">
        <v>325</v>
      </c>
      <c r="D71" s="6" t="s">
        <v>326</v>
      </c>
      <c r="E71" s="6" t="s">
        <v>327</v>
      </c>
      <c r="F71" s="6"/>
      <c r="G71" s="6" t="s">
        <v>328</v>
      </c>
      <c r="H71" s="6"/>
      <c r="I71" s="6"/>
      <c r="J71" s="6"/>
      <c r="K71" s="6"/>
    </row>
    <row r="72" spans="1:11" ht="30">
      <c r="A72" s="6" t="s">
        <v>329</v>
      </c>
      <c r="B72" s="6" t="s">
        <v>286</v>
      </c>
      <c r="C72" s="6" t="s">
        <v>330</v>
      </c>
      <c r="D72" s="6" t="s">
        <v>331</v>
      </c>
      <c r="E72" s="6" t="s">
        <v>332</v>
      </c>
      <c r="F72" s="6" t="s">
        <v>333</v>
      </c>
      <c r="G72" s="6" t="s">
        <v>334</v>
      </c>
      <c r="H72" s="6"/>
      <c r="I72" s="6"/>
      <c r="J72" s="6"/>
      <c r="K72" s="6"/>
    </row>
    <row r="73" spans="1:11" ht="30">
      <c r="A73" s="6" t="s">
        <v>335</v>
      </c>
      <c r="B73" s="6" t="s">
        <v>336</v>
      </c>
      <c r="C73" s="6" t="s">
        <v>337</v>
      </c>
      <c r="D73" s="6" t="s">
        <v>338</v>
      </c>
      <c r="E73" s="6" t="s">
        <v>339</v>
      </c>
      <c r="F73" s="6" t="s">
        <v>34</v>
      </c>
      <c r="G73" s="6" t="s">
        <v>340</v>
      </c>
      <c r="H73" s="6"/>
      <c r="I73" s="6"/>
      <c r="J73" s="6"/>
      <c r="K73" s="6"/>
    </row>
    <row r="74" spans="1:11" ht="45">
      <c r="A74" s="6" t="s">
        <v>341</v>
      </c>
      <c r="B74" s="6" t="s">
        <v>336</v>
      </c>
      <c r="C74" s="6" t="s">
        <v>342</v>
      </c>
      <c r="D74" s="6" t="s">
        <v>343</v>
      </c>
      <c r="E74" s="6" t="s">
        <v>344</v>
      </c>
      <c r="F74" s="12"/>
      <c r="G74" s="6" t="s">
        <v>345</v>
      </c>
      <c r="H74" s="6"/>
      <c r="I74" s="6"/>
      <c r="J74" s="6"/>
      <c r="K74" s="6"/>
    </row>
    <row r="75" spans="1:11" ht="45">
      <c r="A75" s="6" t="s">
        <v>346</v>
      </c>
      <c r="B75" s="6" t="s">
        <v>336</v>
      </c>
      <c r="C75" s="6" t="s">
        <v>347</v>
      </c>
      <c r="D75" s="6" t="s">
        <v>348</v>
      </c>
      <c r="E75" s="6" t="s">
        <v>349</v>
      </c>
      <c r="F75" s="6"/>
      <c r="G75" s="6" t="s">
        <v>350</v>
      </c>
      <c r="H75" s="6"/>
      <c r="I75" s="6"/>
      <c r="J75" s="6"/>
      <c r="K75" s="6"/>
    </row>
    <row r="76" spans="1:11" ht="45">
      <c r="A76" s="6" t="s">
        <v>351</v>
      </c>
      <c r="B76" s="6" t="s">
        <v>336</v>
      </c>
      <c r="C76" s="6" t="s">
        <v>352</v>
      </c>
      <c r="D76" s="6" t="s">
        <v>343</v>
      </c>
      <c r="E76" s="6" t="s">
        <v>353</v>
      </c>
      <c r="F76" s="6"/>
      <c r="G76" s="6" t="s">
        <v>354</v>
      </c>
      <c r="H76" s="6"/>
      <c r="I76" s="6"/>
      <c r="J76" s="6"/>
      <c r="K76" s="6"/>
    </row>
    <row r="77" spans="1:11" ht="30">
      <c r="A77" s="6" t="s">
        <v>355</v>
      </c>
      <c r="B77" s="6" t="s">
        <v>336</v>
      </c>
      <c r="C77" s="6" t="s">
        <v>356</v>
      </c>
      <c r="D77" s="6" t="s">
        <v>348</v>
      </c>
      <c r="E77" s="6" t="s">
        <v>357</v>
      </c>
      <c r="F77" s="6"/>
      <c r="G77" s="6" t="s">
        <v>358</v>
      </c>
      <c r="H77" s="6"/>
      <c r="I77" s="6"/>
      <c r="J77" s="6"/>
      <c r="K77" s="6"/>
    </row>
    <row r="78" spans="1:11" ht="45">
      <c r="A78" s="6" t="s">
        <v>359</v>
      </c>
      <c r="B78" s="6" t="s">
        <v>336</v>
      </c>
      <c r="C78" s="6" t="s">
        <v>360</v>
      </c>
      <c r="D78" s="6" t="s">
        <v>348</v>
      </c>
      <c r="E78" s="6" t="s">
        <v>361</v>
      </c>
      <c r="F78" s="6"/>
      <c r="G78" s="6" t="s">
        <v>362</v>
      </c>
      <c r="H78" s="6"/>
      <c r="I78" s="6"/>
      <c r="J78" s="6"/>
      <c r="K78" s="6"/>
    </row>
    <row r="79" spans="1:11" ht="45">
      <c r="A79" s="6" t="s">
        <v>363</v>
      </c>
      <c r="B79" s="6" t="s">
        <v>336</v>
      </c>
      <c r="C79" s="6" t="s">
        <v>364</v>
      </c>
      <c r="D79" s="6" t="s">
        <v>343</v>
      </c>
      <c r="E79" s="6" t="s">
        <v>365</v>
      </c>
      <c r="F79" s="12"/>
      <c r="G79" s="6" t="s">
        <v>366</v>
      </c>
      <c r="H79" s="6"/>
      <c r="I79" s="6"/>
      <c r="J79" s="6"/>
      <c r="K79" s="6"/>
    </row>
    <row r="80" spans="1:11" ht="60">
      <c r="A80" s="6" t="s">
        <v>367</v>
      </c>
      <c r="B80" s="6" t="s">
        <v>336</v>
      </c>
      <c r="C80" s="6" t="s">
        <v>368</v>
      </c>
      <c r="D80" s="6" t="s">
        <v>343</v>
      </c>
      <c r="E80" s="6" t="s">
        <v>369</v>
      </c>
      <c r="F80" s="6"/>
      <c r="G80" s="6" t="s">
        <v>370</v>
      </c>
      <c r="H80" s="6"/>
      <c r="I80" s="6"/>
      <c r="J80" s="6"/>
      <c r="K80" s="6"/>
    </row>
    <row r="81" spans="1:11" ht="75">
      <c r="A81" s="6" t="s">
        <v>371</v>
      </c>
      <c r="B81" s="6" t="s">
        <v>336</v>
      </c>
      <c r="C81" s="6" t="s">
        <v>372</v>
      </c>
      <c r="D81" s="6" t="s">
        <v>373</v>
      </c>
      <c r="E81" s="6" t="s">
        <v>374</v>
      </c>
      <c r="F81" s="12"/>
      <c r="G81" s="6" t="s">
        <v>375</v>
      </c>
      <c r="H81" s="6"/>
      <c r="I81" s="6"/>
      <c r="J81" s="6"/>
      <c r="K81" s="6"/>
    </row>
    <row r="82" spans="1:11" ht="75">
      <c r="A82" s="6" t="s">
        <v>376</v>
      </c>
      <c r="B82" s="6" t="s">
        <v>336</v>
      </c>
      <c r="C82" s="6" t="s">
        <v>377</v>
      </c>
      <c r="D82" s="6" t="s">
        <v>373</v>
      </c>
      <c r="E82" s="6" t="s">
        <v>378</v>
      </c>
      <c r="F82" s="6" t="s">
        <v>379</v>
      </c>
      <c r="G82" s="6" t="s">
        <v>380</v>
      </c>
      <c r="H82" s="6"/>
      <c r="I82" s="6"/>
      <c r="J82" s="6"/>
      <c r="K82" s="6"/>
    </row>
    <row r="83" spans="1:11" ht="60">
      <c r="A83" s="6" t="s">
        <v>381</v>
      </c>
      <c r="B83" s="6" t="s">
        <v>336</v>
      </c>
      <c r="C83" s="6" t="s">
        <v>382</v>
      </c>
      <c r="D83" s="6" t="s">
        <v>348</v>
      </c>
      <c r="E83" s="6" t="s">
        <v>383</v>
      </c>
      <c r="F83" s="10"/>
      <c r="G83" s="6" t="s">
        <v>384</v>
      </c>
      <c r="H83" s="6"/>
      <c r="I83" s="6"/>
      <c r="J83" s="6"/>
      <c r="K83" s="6"/>
    </row>
    <row r="84" spans="1:11" ht="45">
      <c r="A84" s="6" t="s">
        <v>385</v>
      </c>
      <c r="B84" s="6" t="s">
        <v>336</v>
      </c>
      <c r="C84" s="6" t="s">
        <v>386</v>
      </c>
      <c r="D84" s="6" t="s">
        <v>348</v>
      </c>
      <c r="E84" s="6" t="s">
        <v>387</v>
      </c>
      <c r="F84" s="12"/>
      <c r="G84" s="6" t="s">
        <v>388</v>
      </c>
      <c r="H84" s="6"/>
      <c r="I84" s="6"/>
      <c r="J84" s="6"/>
      <c r="K84" s="6"/>
    </row>
    <row r="85" spans="1:11" ht="60">
      <c r="A85" s="6" t="s">
        <v>389</v>
      </c>
      <c r="B85" s="6" t="s">
        <v>336</v>
      </c>
      <c r="C85" s="6" t="s">
        <v>390</v>
      </c>
      <c r="D85" s="6" t="s">
        <v>391</v>
      </c>
      <c r="E85" s="6" t="s">
        <v>392</v>
      </c>
      <c r="F85" s="12"/>
      <c r="G85" s="6" t="s">
        <v>393</v>
      </c>
      <c r="H85" s="6"/>
      <c r="I85" s="6"/>
      <c r="J85" s="6"/>
      <c r="K85" s="6"/>
    </row>
    <row r="86" spans="1:11" ht="45">
      <c r="A86" s="6" t="s">
        <v>394</v>
      </c>
      <c r="B86" s="6" t="s">
        <v>336</v>
      </c>
      <c r="C86" s="6" t="s">
        <v>395</v>
      </c>
      <c r="D86" s="6" t="s">
        <v>391</v>
      </c>
      <c r="E86" s="6" t="s">
        <v>396</v>
      </c>
      <c r="F86" s="6" t="s">
        <v>311</v>
      </c>
      <c r="G86" s="6" t="s">
        <v>397</v>
      </c>
      <c r="H86" s="6"/>
      <c r="I86" s="6"/>
      <c r="J86" s="6"/>
      <c r="K86" s="6"/>
    </row>
    <row r="87" spans="1:11" ht="60">
      <c r="A87" s="6" t="s">
        <v>398</v>
      </c>
      <c r="B87" s="6" t="s">
        <v>336</v>
      </c>
      <c r="C87" s="6" t="s">
        <v>399</v>
      </c>
      <c r="D87" s="6" t="s">
        <v>400</v>
      </c>
      <c r="E87" s="6" t="s">
        <v>339</v>
      </c>
      <c r="F87" s="6" t="s">
        <v>401</v>
      </c>
      <c r="G87" s="6" t="s">
        <v>402</v>
      </c>
      <c r="H87" s="6"/>
      <c r="I87" s="6"/>
      <c r="J87" s="6"/>
      <c r="K87" s="6"/>
    </row>
    <row r="88" spans="1:11" ht="45">
      <c r="A88" s="6" t="s">
        <v>403</v>
      </c>
      <c r="B88" s="6" t="s">
        <v>336</v>
      </c>
      <c r="C88" s="6" t="s">
        <v>404</v>
      </c>
      <c r="D88" s="6" t="s">
        <v>391</v>
      </c>
      <c r="E88" s="6" t="s">
        <v>405</v>
      </c>
      <c r="F88" s="12"/>
      <c r="G88" s="6" t="s">
        <v>406</v>
      </c>
      <c r="H88" s="6"/>
      <c r="I88" s="6"/>
      <c r="J88" s="6"/>
      <c r="K88" s="6"/>
    </row>
    <row r="89" spans="1:11" ht="75">
      <c r="A89" s="6" t="s">
        <v>407</v>
      </c>
      <c r="B89" s="6" t="s">
        <v>336</v>
      </c>
      <c r="C89" s="6" t="s">
        <v>408</v>
      </c>
      <c r="D89" s="6" t="s">
        <v>409</v>
      </c>
      <c r="E89" s="6" t="s">
        <v>410</v>
      </c>
      <c r="F89" s="6" t="s">
        <v>411</v>
      </c>
      <c r="G89" s="6" t="s">
        <v>412</v>
      </c>
      <c r="H89" s="6"/>
      <c r="I89" s="6"/>
      <c r="J89" s="6"/>
      <c r="K89" s="6"/>
    </row>
    <row r="90" spans="1:11" ht="45">
      <c r="A90" s="6" t="s">
        <v>413</v>
      </c>
      <c r="B90" s="6" t="s">
        <v>414</v>
      </c>
      <c r="C90" s="6" t="s">
        <v>415</v>
      </c>
      <c r="D90" s="6" t="s">
        <v>416</v>
      </c>
      <c r="E90" s="6" t="s">
        <v>417</v>
      </c>
      <c r="F90" s="6" t="s">
        <v>34</v>
      </c>
      <c r="G90" s="6" t="s">
        <v>418</v>
      </c>
      <c r="H90" s="6"/>
      <c r="I90" s="6"/>
      <c r="J90" s="6"/>
      <c r="K90" s="6"/>
    </row>
    <row r="91" spans="1:11" ht="45">
      <c r="A91" s="6" t="s">
        <v>419</v>
      </c>
      <c r="B91" s="6" t="s">
        <v>414</v>
      </c>
      <c r="C91" s="6" t="s">
        <v>420</v>
      </c>
      <c r="D91" s="6" t="s">
        <v>421</v>
      </c>
      <c r="E91" s="6" t="s">
        <v>422</v>
      </c>
      <c r="F91" s="6" t="s">
        <v>34</v>
      </c>
      <c r="G91" s="6" t="s">
        <v>423</v>
      </c>
      <c r="H91" s="6"/>
      <c r="I91" s="6"/>
      <c r="J91" s="6"/>
      <c r="K91" s="6"/>
    </row>
    <row r="92" spans="1:11" ht="45">
      <c r="A92" s="6" t="s">
        <v>424</v>
      </c>
      <c r="B92" s="6" t="s">
        <v>414</v>
      </c>
      <c r="C92" s="6" t="s">
        <v>425</v>
      </c>
      <c r="D92" s="6" t="s">
        <v>426</v>
      </c>
      <c r="E92" s="6" t="s">
        <v>427</v>
      </c>
      <c r="F92" s="6" t="s">
        <v>34</v>
      </c>
      <c r="G92" s="6" t="s">
        <v>428</v>
      </c>
      <c r="H92" s="6"/>
      <c r="I92" s="6"/>
      <c r="J92" s="6"/>
      <c r="K92" s="6"/>
    </row>
    <row r="93" spans="1:11" ht="45">
      <c r="A93" s="6" t="s">
        <v>429</v>
      </c>
      <c r="B93" s="6" t="s">
        <v>336</v>
      </c>
      <c r="C93" s="6" t="s">
        <v>430</v>
      </c>
      <c r="D93" s="6" t="s">
        <v>47</v>
      </c>
      <c r="E93" s="6" t="s">
        <v>288</v>
      </c>
      <c r="F93" s="6" t="s">
        <v>34</v>
      </c>
      <c r="G93" s="6" t="s">
        <v>431</v>
      </c>
      <c r="H93" s="6"/>
      <c r="I93" s="6"/>
      <c r="J93" s="6"/>
      <c r="K93" s="6"/>
    </row>
    <row r="94" spans="1:11" ht="30">
      <c r="A94" s="6" t="s">
        <v>432</v>
      </c>
      <c r="B94" s="6" t="s">
        <v>433</v>
      </c>
      <c r="C94" s="6" t="s">
        <v>434</v>
      </c>
      <c r="D94" s="6" t="s">
        <v>435</v>
      </c>
      <c r="E94" s="6" t="s">
        <v>436</v>
      </c>
      <c r="F94" s="6"/>
      <c r="G94" s="6" t="s">
        <v>437</v>
      </c>
      <c r="H94" s="6"/>
      <c r="I94" s="6"/>
      <c r="J94" s="6"/>
      <c r="K94" s="6"/>
    </row>
    <row r="95" spans="1:11" ht="45">
      <c r="A95" s="6" t="s">
        <v>438</v>
      </c>
      <c r="B95" s="6" t="s">
        <v>433</v>
      </c>
      <c r="C95" s="6" t="s">
        <v>439</v>
      </c>
      <c r="D95" s="6" t="s">
        <v>440</v>
      </c>
      <c r="E95" s="6" t="s">
        <v>441</v>
      </c>
      <c r="F95" s="6"/>
      <c r="G95" s="6" t="s">
        <v>442</v>
      </c>
      <c r="H95" s="6"/>
      <c r="I95" s="6"/>
      <c r="J95" s="6"/>
      <c r="K95" s="6"/>
    </row>
    <row r="96" spans="1:11">
      <c r="A96" s="6"/>
      <c r="B96" s="6"/>
      <c r="C96" s="6"/>
      <c r="D96" s="6"/>
      <c r="E96" s="6"/>
      <c r="F96" s="6"/>
      <c r="G96" s="6"/>
      <c r="H96" s="6"/>
      <c r="I96" s="6"/>
      <c r="J96" s="6"/>
      <c r="K96" s="6"/>
    </row>
    <row r="97" spans="1:11" ht="45">
      <c r="A97" s="6" t="s">
        <v>443</v>
      </c>
      <c r="B97" s="6" t="s">
        <v>444</v>
      </c>
      <c r="C97" s="6" t="s">
        <v>445</v>
      </c>
      <c r="D97" s="6" t="s">
        <v>446</v>
      </c>
      <c r="E97" s="6" t="s">
        <v>81</v>
      </c>
      <c r="F97" s="6" t="s">
        <v>447</v>
      </c>
      <c r="G97" s="6" t="s">
        <v>448</v>
      </c>
      <c r="H97" s="6"/>
      <c r="I97" s="6"/>
      <c r="J97" s="6"/>
      <c r="K97" s="6"/>
    </row>
    <row r="98" spans="1:11" ht="60">
      <c r="A98" s="6" t="s">
        <v>449</v>
      </c>
      <c r="B98" s="6" t="s">
        <v>444</v>
      </c>
      <c r="C98" s="6" t="s">
        <v>450</v>
      </c>
      <c r="D98" s="6" t="s">
        <v>451</v>
      </c>
      <c r="E98" s="6" t="s">
        <v>452</v>
      </c>
      <c r="F98" s="6" t="s">
        <v>34</v>
      </c>
      <c r="G98" s="6" t="s">
        <v>453</v>
      </c>
      <c r="H98" s="6"/>
      <c r="I98" s="6"/>
      <c r="J98" s="6"/>
      <c r="K98" s="6"/>
    </row>
    <row r="99" spans="1:11" ht="45">
      <c r="A99" s="6" t="s">
        <v>454</v>
      </c>
      <c r="B99" s="6" t="s">
        <v>444</v>
      </c>
      <c r="C99" s="6" t="s">
        <v>455</v>
      </c>
      <c r="D99" s="6" t="s">
        <v>456</v>
      </c>
      <c r="E99" s="6" t="s">
        <v>457</v>
      </c>
      <c r="F99" s="6" t="s">
        <v>34</v>
      </c>
      <c r="G99" s="6" t="s">
        <v>458</v>
      </c>
      <c r="H99" s="6"/>
      <c r="I99" s="6"/>
      <c r="J99" s="6"/>
      <c r="K99" s="6"/>
    </row>
    <row r="100" spans="1:11" ht="45">
      <c r="A100" s="6" t="s">
        <v>459</v>
      </c>
      <c r="B100" s="6" t="s">
        <v>444</v>
      </c>
      <c r="C100" s="6" t="s">
        <v>460</v>
      </c>
      <c r="D100" s="6" t="s">
        <v>343</v>
      </c>
      <c r="E100" s="6" t="s">
        <v>461</v>
      </c>
      <c r="F100" s="6" t="s">
        <v>34</v>
      </c>
      <c r="G100" s="6" t="s">
        <v>462</v>
      </c>
      <c r="H100" s="6"/>
      <c r="I100" s="6"/>
      <c r="J100" s="6"/>
      <c r="K100" s="6"/>
    </row>
    <row r="101" spans="1:11" ht="60">
      <c r="A101" s="6" t="s">
        <v>463</v>
      </c>
      <c r="B101" s="6" t="s">
        <v>444</v>
      </c>
      <c r="C101" s="6" t="s">
        <v>464</v>
      </c>
      <c r="D101" s="6" t="s">
        <v>343</v>
      </c>
      <c r="E101" s="6" t="s">
        <v>465</v>
      </c>
      <c r="F101" s="6" t="s">
        <v>34</v>
      </c>
      <c r="G101" s="6" t="s">
        <v>466</v>
      </c>
      <c r="H101" s="6"/>
      <c r="I101" s="6"/>
      <c r="J101" s="6"/>
      <c r="K101" s="6"/>
    </row>
    <row r="102" spans="1:11" ht="45">
      <c r="A102" s="6" t="s">
        <v>467</v>
      </c>
      <c r="B102" s="6" t="s">
        <v>468</v>
      </c>
      <c r="C102" s="6" t="s">
        <v>469</v>
      </c>
      <c r="D102" s="6" t="s">
        <v>470</v>
      </c>
      <c r="E102" s="6" t="s">
        <v>471</v>
      </c>
      <c r="F102" s="6" t="s">
        <v>472</v>
      </c>
      <c r="G102" s="6" t="s">
        <v>473</v>
      </c>
      <c r="H102" s="6"/>
      <c r="I102" s="6"/>
      <c r="J102" s="6"/>
      <c r="K102" s="6"/>
    </row>
    <row r="103" spans="1:11" ht="45">
      <c r="A103" s="6" t="s">
        <v>474</v>
      </c>
      <c r="B103" s="6" t="s">
        <v>468</v>
      </c>
      <c r="C103" s="6" t="s">
        <v>475</v>
      </c>
      <c r="D103" s="6" t="s">
        <v>476</v>
      </c>
      <c r="E103" s="6" t="s">
        <v>339</v>
      </c>
      <c r="F103" s="6" t="s">
        <v>477</v>
      </c>
      <c r="G103" s="6" t="s">
        <v>478</v>
      </c>
      <c r="H103" s="6"/>
      <c r="I103" s="6"/>
      <c r="J103" s="6"/>
      <c r="K103" s="6"/>
    </row>
    <row r="104" spans="1:11" ht="60">
      <c r="A104" s="6" t="s">
        <v>479</v>
      </c>
      <c r="B104" s="6" t="s">
        <v>480</v>
      </c>
      <c r="C104" s="6" t="s">
        <v>481</v>
      </c>
      <c r="D104" s="6" t="s">
        <v>451</v>
      </c>
      <c r="E104" s="6" t="s">
        <v>482</v>
      </c>
      <c r="F104" s="6" t="s">
        <v>483</v>
      </c>
      <c r="G104" s="6" t="s">
        <v>484</v>
      </c>
      <c r="H104" s="6"/>
      <c r="I104" s="6"/>
      <c r="J104" s="6"/>
      <c r="K104" s="6"/>
    </row>
    <row r="105" spans="1:11" ht="45">
      <c r="A105" s="6" t="s">
        <v>485</v>
      </c>
      <c r="B105" s="6" t="s">
        <v>480</v>
      </c>
      <c r="C105" s="6" t="s">
        <v>486</v>
      </c>
      <c r="D105" s="6" t="s">
        <v>348</v>
      </c>
      <c r="E105" s="6" t="s">
        <v>487</v>
      </c>
      <c r="F105" s="6" t="s">
        <v>483</v>
      </c>
      <c r="G105" s="6" t="s">
        <v>488</v>
      </c>
      <c r="H105" s="6"/>
      <c r="I105" s="6"/>
      <c r="J105" s="6"/>
      <c r="K105" s="6"/>
    </row>
    <row r="106" spans="1:11" ht="45">
      <c r="A106" s="6" t="s">
        <v>489</v>
      </c>
      <c r="B106" s="6" t="s">
        <v>480</v>
      </c>
      <c r="C106" s="6" t="s">
        <v>490</v>
      </c>
      <c r="D106" s="6" t="s">
        <v>491</v>
      </c>
      <c r="E106" s="6" t="s">
        <v>492</v>
      </c>
      <c r="F106" s="6" t="s">
        <v>493</v>
      </c>
      <c r="G106" s="6" t="s">
        <v>494</v>
      </c>
      <c r="H106" s="6"/>
      <c r="I106" s="6"/>
      <c r="J106" s="6"/>
      <c r="K106" s="6"/>
    </row>
    <row r="107" spans="1:11" ht="45">
      <c r="A107" s="6" t="s">
        <v>495</v>
      </c>
      <c r="B107" s="6" t="s">
        <v>496</v>
      </c>
      <c r="C107" s="6" t="s">
        <v>497</v>
      </c>
      <c r="D107" s="6" t="s">
        <v>498</v>
      </c>
      <c r="E107" s="6" t="s">
        <v>499</v>
      </c>
      <c r="F107" s="6" t="s">
        <v>500</v>
      </c>
      <c r="G107" s="6" t="s">
        <v>501</v>
      </c>
      <c r="H107" s="6"/>
      <c r="I107" s="6"/>
      <c r="J107" s="6"/>
      <c r="K107" s="6"/>
    </row>
    <row r="108" spans="1:11" ht="45">
      <c r="A108" s="6" t="s">
        <v>502</v>
      </c>
      <c r="B108" s="6" t="s">
        <v>496</v>
      </c>
      <c r="C108" s="6" t="s">
        <v>503</v>
      </c>
      <c r="D108" s="6" t="s">
        <v>504</v>
      </c>
      <c r="E108" s="6" t="s">
        <v>505</v>
      </c>
      <c r="F108" s="6" t="s">
        <v>506</v>
      </c>
      <c r="G108" s="6" t="s">
        <v>507</v>
      </c>
      <c r="H108" s="6"/>
      <c r="I108" s="6"/>
      <c r="J108" s="6"/>
      <c r="K108" s="6"/>
    </row>
    <row r="109" spans="1:11" ht="45">
      <c r="A109" s="6" t="s">
        <v>508</v>
      </c>
      <c r="B109" s="6" t="s">
        <v>496</v>
      </c>
      <c r="C109" s="6" t="s">
        <v>509</v>
      </c>
      <c r="D109" s="6" t="s">
        <v>510</v>
      </c>
      <c r="E109" s="6" t="s">
        <v>511</v>
      </c>
      <c r="F109" s="6" t="s">
        <v>512</v>
      </c>
      <c r="G109" s="6" t="s">
        <v>513</v>
      </c>
      <c r="H109" s="6"/>
      <c r="I109" s="6"/>
      <c r="J109" s="6"/>
      <c r="K109" s="6"/>
    </row>
    <row r="110" spans="1:11" ht="45">
      <c r="A110" s="6" t="s">
        <v>514</v>
      </c>
      <c r="B110" s="6" t="s">
        <v>496</v>
      </c>
      <c r="C110" s="6" t="s">
        <v>515</v>
      </c>
      <c r="D110" s="6" t="s">
        <v>516</v>
      </c>
      <c r="E110" s="6" t="s">
        <v>517</v>
      </c>
      <c r="F110" s="10" t="s">
        <v>518</v>
      </c>
      <c r="G110" s="6" t="s">
        <v>266</v>
      </c>
      <c r="H110" s="6"/>
      <c r="I110" s="6"/>
      <c r="J110" s="6"/>
      <c r="K110" s="6"/>
    </row>
    <row r="111" spans="1:11" ht="45">
      <c r="A111" s="6" t="s">
        <v>519</v>
      </c>
      <c r="B111" s="6" t="s">
        <v>520</v>
      </c>
      <c r="C111" s="6" t="s">
        <v>521</v>
      </c>
      <c r="D111" s="6" t="s">
        <v>522</v>
      </c>
      <c r="E111" s="6" t="s">
        <v>523</v>
      </c>
      <c r="F111" s="6" t="s">
        <v>524</v>
      </c>
      <c r="G111" s="6" t="s">
        <v>525</v>
      </c>
      <c r="H111" s="6"/>
      <c r="I111" s="6"/>
      <c r="J111" s="6"/>
      <c r="K111" s="6"/>
    </row>
    <row r="112" spans="1:11" ht="45">
      <c r="A112" s="6" t="s">
        <v>526</v>
      </c>
      <c r="B112" s="6" t="s">
        <v>520</v>
      </c>
      <c r="C112" s="6" t="s">
        <v>527</v>
      </c>
      <c r="D112" s="6" t="s">
        <v>528</v>
      </c>
      <c r="E112" s="6" t="s">
        <v>529</v>
      </c>
      <c r="F112" s="6" t="s">
        <v>305</v>
      </c>
      <c r="G112" s="6" t="s">
        <v>530</v>
      </c>
      <c r="H112" s="6"/>
      <c r="I112" s="6"/>
      <c r="J112" s="6"/>
      <c r="K112" s="6"/>
    </row>
    <row r="113" spans="1:11" ht="75">
      <c r="A113" s="6" t="s">
        <v>531</v>
      </c>
      <c r="B113" s="6" t="s">
        <v>532</v>
      </c>
      <c r="C113" s="6" t="s">
        <v>533</v>
      </c>
      <c r="D113" s="6" t="s">
        <v>534</v>
      </c>
      <c r="E113" s="6" t="s">
        <v>535</v>
      </c>
      <c r="F113" s="6" t="s">
        <v>536</v>
      </c>
      <c r="G113" s="6" t="s">
        <v>537</v>
      </c>
      <c r="H113" s="6"/>
      <c r="I113" s="6"/>
      <c r="J113" s="6"/>
      <c r="K113" s="6"/>
    </row>
    <row r="114" spans="1:11" ht="45">
      <c r="A114" s="6" t="s">
        <v>538</v>
      </c>
      <c r="B114" s="6" t="s">
        <v>539</v>
      </c>
      <c r="C114" s="6" t="s">
        <v>540</v>
      </c>
      <c r="D114" s="6" t="s">
        <v>541</v>
      </c>
      <c r="E114" s="6" t="s">
        <v>542</v>
      </c>
      <c r="F114" s="6" t="s">
        <v>543</v>
      </c>
      <c r="G114" s="6" t="s">
        <v>544</v>
      </c>
      <c r="H114" s="6"/>
      <c r="I114" s="6"/>
      <c r="J114" s="6"/>
      <c r="K114" s="6"/>
    </row>
    <row r="115" spans="1:11" ht="30">
      <c r="A115" s="6" t="s">
        <v>545</v>
      </c>
      <c r="B115" s="6" t="s">
        <v>539</v>
      </c>
      <c r="C115" s="6" t="s">
        <v>546</v>
      </c>
      <c r="D115" s="6" t="s">
        <v>547</v>
      </c>
      <c r="E115" s="6" t="s">
        <v>548</v>
      </c>
      <c r="F115" s="6" t="s">
        <v>549</v>
      </c>
      <c r="G115" s="6" t="s">
        <v>550</v>
      </c>
      <c r="H115" s="6"/>
      <c r="I115" s="6"/>
      <c r="J115" s="6"/>
      <c r="K115" s="6"/>
    </row>
    <row r="116" spans="1:11" ht="60">
      <c r="A116" s="6" t="s">
        <v>551</v>
      </c>
      <c r="B116" s="6" t="s">
        <v>552</v>
      </c>
      <c r="C116" s="6" t="s">
        <v>553</v>
      </c>
      <c r="D116" s="6" t="s">
        <v>554</v>
      </c>
      <c r="E116" s="6" t="s">
        <v>555</v>
      </c>
      <c r="F116" s="6" t="s">
        <v>556</v>
      </c>
      <c r="G116" s="6" t="s">
        <v>557</v>
      </c>
      <c r="H116" s="6"/>
      <c r="I116" s="6"/>
      <c r="J116" s="6"/>
      <c r="K116" s="6"/>
    </row>
    <row r="117" spans="1:11" ht="60">
      <c r="A117" s="6" t="s">
        <v>558</v>
      </c>
      <c r="B117" s="6" t="s">
        <v>552</v>
      </c>
      <c r="C117" s="6" t="s">
        <v>559</v>
      </c>
      <c r="D117" s="6" t="s">
        <v>554</v>
      </c>
      <c r="E117" s="6" t="s">
        <v>560</v>
      </c>
      <c r="F117" s="6" t="s">
        <v>561</v>
      </c>
      <c r="G117" s="6" t="s">
        <v>562</v>
      </c>
      <c r="H117" s="6"/>
      <c r="I117" s="6"/>
      <c r="J117" s="6"/>
      <c r="K117" s="6"/>
    </row>
    <row r="118" spans="1:11" ht="45">
      <c r="A118" s="6" t="s">
        <v>563</v>
      </c>
      <c r="B118" s="6" t="s">
        <v>552</v>
      </c>
      <c r="C118" s="6" t="s">
        <v>564</v>
      </c>
      <c r="D118" s="6" t="s">
        <v>565</v>
      </c>
      <c r="E118" s="6" t="s">
        <v>566</v>
      </c>
      <c r="F118" s="6" t="s">
        <v>34</v>
      </c>
      <c r="G118" s="6" t="s">
        <v>567</v>
      </c>
      <c r="H118" s="6"/>
      <c r="I118" s="6"/>
      <c r="J118" s="6"/>
      <c r="K118" s="6"/>
    </row>
    <row r="119" spans="1:11" ht="45">
      <c r="A119" s="6" t="s">
        <v>568</v>
      </c>
      <c r="B119" s="6" t="s">
        <v>552</v>
      </c>
      <c r="C119" s="6" t="s">
        <v>569</v>
      </c>
      <c r="D119" s="6" t="s">
        <v>570</v>
      </c>
      <c r="E119" s="6" t="s">
        <v>571</v>
      </c>
      <c r="F119" s="6" t="s">
        <v>572</v>
      </c>
      <c r="G119" s="6" t="s">
        <v>573</v>
      </c>
      <c r="H119" s="6"/>
      <c r="I119" s="6"/>
      <c r="J119" s="6"/>
      <c r="K119" s="6"/>
    </row>
    <row r="120" spans="1:11" ht="45">
      <c r="A120" s="6" t="s">
        <v>574</v>
      </c>
      <c r="B120" s="6" t="s">
        <v>552</v>
      </c>
      <c r="C120" s="6" t="s">
        <v>575</v>
      </c>
      <c r="D120" s="6" t="s">
        <v>576</v>
      </c>
      <c r="E120" s="6" t="s">
        <v>577</v>
      </c>
      <c r="F120" s="6" t="s">
        <v>572</v>
      </c>
      <c r="G120" s="6" t="s">
        <v>578</v>
      </c>
      <c r="H120" s="6"/>
      <c r="I120" s="6"/>
      <c r="J120" s="6"/>
      <c r="K120" s="6"/>
    </row>
    <row r="121" spans="1:11" ht="60">
      <c r="A121" s="6" t="s">
        <v>579</v>
      </c>
      <c r="B121" s="6" t="s">
        <v>444</v>
      </c>
      <c r="C121" s="6" t="s">
        <v>580</v>
      </c>
      <c r="D121" s="6" t="s">
        <v>581</v>
      </c>
      <c r="E121" s="6" t="s">
        <v>582</v>
      </c>
      <c r="F121" s="6" t="s">
        <v>34</v>
      </c>
      <c r="G121" s="6" t="s">
        <v>583</v>
      </c>
      <c r="H121" s="6"/>
      <c r="I121" s="6"/>
      <c r="J121" s="6"/>
      <c r="K121" s="6"/>
    </row>
    <row r="122" spans="1:11" ht="45">
      <c r="A122" s="6" t="s">
        <v>584</v>
      </c>
      <c r="B122" s="6" t="s">
        <v>444</v>
      </c>
      <c r="C122" s="6" t="s">
        <v>585</v>
      </c>
      <c r="D122" s="6" t="s">
        <v>586</v>
      </c>
      <c r="E122" s="6" t="s">
        <v>587</v>
      </c>
      <c r="F122" s="6" t="s">
        <v>34</v>
      </c>
      <c r="G122" s="6" t="s">
        <v>588</v>
      </c>
      <c r="H122" s="6"/>
      <c r="I122" s="6"/>
      <c r="J122" s="6"/>
      <c r="K122" s="6"/>
    </row>
    <row r="123" spans="1:11" ht="45">
      <c r="A123" s="6" t="s">
        <v>589</v>
      </c>
      <c r="B123" s="6" t="s">
        <v>444</v>
      </c>
      <c r="C123" s="6" t="s">
        <v>590</v>
      </c>
      <c r="D123" s="6" t="s">
        <v>591</v>
      </c>
      <c r="E123" s="6" t="s">
        <v>592</v>
      </c>
      <c r="F123" s="6" t="s">
        <v>593</v>
      </c>
      <c r="G123" s="6" t="s">
        <v>594</v>
      </c>
      <c r="H123" s="6"/>
      <c r="I123" s="6"/>
      <c r="J123" s="6"/>
      <c r="K123" s="6"/>
    </row>
    <row r="124" spans="1:11" ht="45">
      <c r="A124" s="6" t="s">
        <v>595</v>
      </c>
      <c r="B124" s="6" t="s">
        <v>444</v>
      </c>
      <c r="C124" s="6" t="s">
        <v>596</v>
      </c>
      <c r="D124" s="6" t="s">
        <v>597</v>
      </c>
      <c r="E124" s="6" t="s">
        <v>598</v>
      </c>
      <c r="F124" s="11">
        <v>34683</v>
      </c>
      <c r="G124" s="6" t="s">
        <v>599</v>
      </c>
      <c r="H124" s="6"/>
      <c r="I124" s="6"/>
      <c r="J124" s="6"/>
      <c r="K124" s="6"/>
    </row>
    <row r="125" spans="1:11" ht="45">
      <c r="A125" s="6" t="s">
        <v>600</v>
      </c>
      <c r="B125" s="6" t="s">
        <v>336</v>
      </c>
      <c r="C125" s="6" t="s">
        <v>601</v>
      </c>
      <c r="D125" s="6" t="s">
        <v>602</v>
      </c>
      <c r="E125" s="6" t="s">
        <v>603</v>
      </c>
      <c r="F125" s="6" t="s">
        <v>604</v>
      </c>
      <c r="G125" s="6" t="s">
        <v>605</v>
      </c>
      <c r="H125" s="6"/>
      <c r="I125" s="6"/>
      <c r="J125" s="6"/>
      <c r="K125" s="6"/>
    </row>
    <row r="126" spans="1:11" ht="60">
      <c r="A126" s="6" t="s">
        <v>606</v>
      </c>
      <c r="B126" s="6" t="s">
        <v>336</v>
      </c>
      <c r="C126" s="6" t="s">
        <v>607</v>
      </c>
      <c r="D126" s="6" t="s">
        <v>608</v>
      </c>
      <c r="E126" s="6" t="s">
        <v>609</v>
      </c>
      <c r="F126" s="6"/>
      <c r="G126" s="6" t="s">
        <v>610</v>
      </c>
      <c r="H126" s="6"/>
      <c r="I126" s="6"/>
      <c r="J126" s="6"/>
      <c r="K126" s="6"/>
    </row>
    <row r="127" spans="1:11" ht="60">
      <c r="A127" s="6" t="s">
        <v>611</v>
      </c>
      <c r="B127" s="6" t="s">
        <v>336</v>
      </c>
      <c r="C127" s="6" t="s">
        <v>612</v>
      </c>
      <c r="D127" s="6" t="s">
        <v>343</v>
      </c>
      <c r="E127" s="6" t="s">
        <v>613</v>
      </c>
      <c r="F127" s="12"/>
      <c r="G127" s="6" t="s">
        <v>614</v>
      </c>
      <c r="H127" s="6"/>
      <c r="I127" s="6"/>
      <c r="J127" s="6"/>
      <c r="K127" s="6"/>
    </row>
    <row r="128" spans="1:11" ht="45">
      <c r="A128" s="6" t="s">
        <v>615</v>
      </c>
      <c r="B128" s="6" t="s">
        <v>336</v>
      </c>
      <c r="C128" s="6" t="s">
        <v>616</v>
      </c>
      <c r="D128" s="6" t="s">
        <v>343</v>
      </c>
      <c r="E128" s="6" t="s">
        <v>613</v>
      </c>
      <c r="F128" s="12"/>
      <c r="G128" s="6" t="s">
        <v>617</v>
      </c>
      <c r="H128" s="6"/>
      <c r="I128" s="6"/>
      <c r="J128" s="6"/>
      <c r="K128" s="6"/>
    </row>
    <row r="129" spans="1:11" ht="60">
      <c r="A129" s="6" t="s">
        <v>618</v>
      </c>
      <c r="B129" s="6" t="s">
        <v>286</v>
      </c>
      <c r="C129" s="6" t="s">
        <v>619</v>
      </c>
      <c r="D129" s="6" t="s">
        <v>620</v>
      </c>
      <c r="E129" s="6" t="s">
        <v>621</v>
      </c>
      <c r="F129" s="6"/>
      <c r="G129" s="6" t="s">
        <v>622</v>
      </c>
      <c r="H129" s="6"/>
      <c r="I129" s="6"/>
      <c r="J129" s="6"/>
      <c r="K129" s="6"/>
    </row>
    <row r="130" spans="1:11" ht="60">
      <c r="A130" s="6" t="s">
        <v>623</v>
      </c>
      <c r="B130" s="6" t="s">
        <v>286</v>
      </c>
      <c r="C130" s="6" t="s">
        <v>624</v>
      </c>
      <c r="D130" s="6" t="s">
        <v>47</v>
      </c>
      <c r="E130" s="6" t="s">
        <v>625</v>
      </c>
      <c r="F130" s="6"/>
      <c r="G130" s="6" t="s">
        <v>626</v>
      </c>
      <c r="H130" s="6"/>
      <c r="I130" s="6"/>
      <c r="J130" s="6"/>
      <c r="K130" s="6"/>
    </row>
  </sheetData>
  <mergeCells count="5">
    <mergeCell ref="A1:E3"/>
    <mergeCell ref="A4:C4"/>
    <mergeCell ref="A5:C5"/>
    <mergeCell ref="A6:C6"/>
    <mergeCell ref="A7:C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8B57B-B7C3-4E31-B50E-9ED8DAB18461}">
  <dimension ref="A1:K95"/>
  <sheetViews>
    <sheetView topLeftCell="A89" workbookViewId="0">
      <selection activeCell="A76" sqref="A76:XFD76"/>
    </sheetView>
  </sheetViews>
  <sheetFormatPr defaultRowHeight="15"/>
  <cols>
    <col min="2" max="2" width="15.5546875" customWidth="1"/>
    <col min="3" max="3" width="21.33203125" customWidth="1"/>
    <col min="4" max="4" width="23.21875" customWidth="1"/>
    <col min="5" max="5" width="17.6640625" customWidth="1"/>
    <col min="6" max="6" width="22.21875" customWidth="1"/>
    <col min="7" max="7" width="43.44140625" customWidth="1"/>
  </cols>
  <sheetData>
    <row r="1" spans="1:11">
      <c r="A1" s="26" t="s">
        <v>0</v>
      </c>
      <c r="B1" s="27"/>
      <c r="C1" s="27"/>
      <c r="D1" s="27"/>
      <c r="E1" s="28"/>
      <c r="F1" s="1"/>
      <c r="G1" s="1"/>
      <c r="H1" s="1"/>
      <c r="I1" s="1"/>
      <c r="J1" s="1"/>
      <c r="K1" s="1"/>
    </row>
    <row r="2" spans="1:11">
      <c r="A2" s="29"/>
      <c r="B2" s="30"/>
      <c r="C2" s="30"/>
      <c r="D2" s="30"/>
      <c r="E2" s="31"/>
      <c r="F2" s="1"/>
      <c r="G2" s="1"/>
      <c r="H2" s="1"/>
      <c r="I2" s="1"/>
      <c r="J2" s="1"/>
      <c r="K2" s="1"/>
    </row>
    <row r="3" spans="1:11">
      <c r="A3" s="32"/>
      <c r="B3" s="33"/>
      <c r="C3" s="33"/>
      <c r="D3" s="33"/>
      <c r="E3" s="34"/>
      <c r="F3" s="1"/>
      <c r="G3" s="1"/>
      <c r="H3" s="1"/>
      <c r="I3" s="1"/>
      <c r="J3" s="1"/>
      <c r="K3" s="1"/>
    </row>
    <row r="4" spans="1:11">
      <c r="A4" s="35" t="s">
        <v>1</v>
      </c>
      <c r="B4" s="36"/>
      <c r="C4" s="37"/>
      <c r="D4" s="4" t="s">
        <v>2</v>
      </c>
      <c r="E4" s="5">
        <f>COUNTIF(H10:H403,"PASS")</f>
        <v>76</v>
      </c>
      <c r="F4" s="6"/>
      <c r="G4" s="6"/>
      <c r="H4" s="6"/>
      <c r="I4" s="6"/>
      <c r="J4" s="6"/>
      <c r="K4" s="6"/>
    </row>
    <row r="5" spans="1:11">
      <c r="A5" s="35" t="s">
        <v>3</v>
      </c>
      <c r="B5" s="36"/>
      <c r="C5" s="37"/>
      <c r="D5" s="4"/>
      <c r="E5" s="5">
        <f>COUNTIF(H10:H403,"FAIL")</f>
        <v>0</v>
      </c>
      <c r="F5" s="6"/>
      <c r="G5" s="6"/>
      <c r="H5" s="6"/>
      <c r="I5" s="6"/>
      <c r="J5" s="6"/>
      <c r="K5" s="6"/>
    </row>
    <row r="6" spans="1:11">
      <c r="A6" s="35" t="s">
        <v>4</v>
      </c>
      <c r="B6" s="36"/>
      <c r="C6" s="37"/>
      <c r="D6" s="4"/>
      <c r="E6" s="5">
        <f>COUNTIF(H10:H403,"Pending")</f>
        <v>0</v>
      </c>
      <c r="G6" s="6"/>
      <c r="H6" s="6"/>
      <c r="I6" s="6"/>
      <c r="J6" s="6"/>
      <c r="K6" s="6"/>
    </row>
    <row r="7" spans="1:11">
      <c r="A7" s="35" t="s">
        <v>5</v>
      </c>
      <c r="B7" s="36"/>
      <c r="C7" s="37"/>
      <c r="D7" s="4"/>
      <c r="E7" s="5">
        <f>COUNTA(H10:H403)</f>
        <v>76</v>
      </c>
      <c r="F7" s="6"/>
      <c r="G7" s="6"/>
      <c r="H7" s="6"/>
      <c r="I7" s="6"/>
      <c r="J7" s="6"/>
      <c r="K7" s="6"/>
    </row>
    <row r="8" spans="1:11">
      <c r="A8" s="7"/>
      <c r="B8" s="8"/>
      <c r="C8" s="8"/>
      <c r="D8" s="8"/>
      <c r="E8" s="8"/>
      <c r="F8" s="9"/>
      <c r="G8" s="9"/>
      <c r="H8" s="9"/>
      <c r="I8" s="9"/>
      <c r="J8" s="9"/>
      <c r="K8" s="9"/>
    </row>
    <row r="9" spans="1:11" ht="72">
      <c r="A9" s="2" t="s">
        <v>6</v>
      </c>
      <c r="B9" s="2" t="s">
        <v>7</v>
      </c>
      <c r="C9" s="2" t="s">
        <v>8</v>
      </c>
      <c r="D9" s="2" t="s">
        <v>9</v>
      </c>
      <c r="E9" s="2" t="s">
        <v>10</v>
      </c>
      <c r="F9" s="2" t="s">
        <v>11</v>
      </c>
      <c r="G9" s="2" t="s">
        <v>12</v>
      </c>
      <c r="H9" s="2" t="s">
        <v>13</v>
      </c>
      <c r="I9" s="2" t="s">
        <v>14</v>
      </c>
      <c r="J9" s="2" t="s">
        <v>15</v>
      </c>
      <c r="K9" s="3" t="s">
        <v>16</v>
      </c>
    </row>
    <row r="10" spans="1:11" ht="105" customHeight="1">
      <c r="A10" s="13" t="s">
        <v>17</v>
      </c>
      <c r="B10" s="13" t="s">
        <v>627</v>
      </c>
      <c r="C10" s="13" t="s">
        <v>628</v>
      </c>
      <c r="D10" s="13" t="s">
        <v>629</v>
      </c>
      <c r="E10" s="13" t="s">
        <v>630</v>
      </c>
      <c r="F10" s="14" t="s">
        <v>631</v>
      </c>
      <c r="G10" s="13" t="s">
        <v>632</v>
      </c>
      <c r="H10" s="20" t="s">
        <v>633</v>
      </c>
      <c r="I10" s="15"/>
      <c r="J10" s="15"/>
      <c r="K10" s="13" t="s">
        <v>634</v>
      </c>
    </row>
    <row r="11" spans="1:11" ht="340.5" customHeight="1">
      <c r="A11" s="13" t="s">
        <v>24</v>
      </c>
      <c r="B11" s="13" t="s">
        <v>635</v>
      </c>
      <c r="C11" s="13" t="s">
        <v>636</v>
      </c>
      <c r="D11" s="13" t="s">
        <v>637</v>
      </c>
      <c r="E11" s="13" t="s">
        <v>636</v>
      </c>
      <c r="F11" s="13" t="s">
        <v>638</v>
      </c>
      <c r="G11" s="13" t="s">
        <v>639</v>
      </c>
      <c r="H11" s="20" t="s">
        <v>633</v>
      </c>
      <c r="I11" s="15"/>
      <c r="J11" s="15"/>
      <c r="K11" s="13" t="s">
        <v>634</v>
      </c>
    </row>
    <row r="12" spans="1:11" ht="57.75">
      <c r="A12" s="13" t="s">
        <v>640</v>
      </c>
      <c r="B12" s="13" t="s">
        <v>641</v>
      </c>
      <c r="C12" s="13" t="s">
        <v>642</v>
      </c>
      <c r="D12" s="13" t="s">
        <v>643</v>
      </c>
      <c r="E12" s="13" t="s">
        <v>644</v>
      </c>
      <c r="F12" s="13" t="s">
        <v>645</v>
      </c>
      <c r="G12" s="13" t="s">
        <v>646</v>
      </c>
      <c r="H12" s="20" t="s">
        <v>633</v>
      </c>
      <c r="I12" s="15"/>
      <c r="J12" s="15"/>
      <c r="K12" s="13" t="s">
        <v>634</v>
      </c>
    </row>
    <row r="13" spans="1:11" ht="57.75">
      <c r="A13" s="13" t="s">
        <v>647</v>
      </c>
      <c r="B13" s="13" t="s">
        <v>648</v>
      </c>
      <c r="C13" s="13" t="s">
        <v>649</v>
      </c>
      <c r="D13" s="13" t="s">
        <v>637</v>
      </c>
      <c r="E13" s="13" t="s">
        <v>650</v>
      </c>
      <c r="F13" s="13" t="s">
        <v>651</v>
      </c>
      <c r="G13" s="13" t="s">
        <v>652</v>
      </c>
      <c r="H13" s="20" t="s">
        <v>633</v>
      </c>
      <c r="I13" s="15"/>
      <c r="J13" s="15"/>
      <c r="K13" s="13" t="s">
        <v>653</v>
      </c>
    </row>
    <row r="14" spans="1:11" ht="57.75">
      <c r="A14" s="13" t="s">
        <v>30</v>
      </c>
      <c r="B14" s="13" t="s">
        <v>654</v>
      </c>
      <c r="C14" s="13" t="s">
        <v>655</v>
      </c>
      <c r="D14" s="13" t="s">
        <v>643</v>
      </c>
      <c r="E14" s="13" t="s">
        <v>656</v>
      </c>
      <c r="F14" s="14" t="s">
        <v>657</v>
      </c>
      <c r="G14" s="13" t="s">
        <v>658</v>
      </c>
      <c r="H14" s="20" t="s">
        <v>633</v>
      </c>
      <c r="I14" s="20" t="s">
        <v>633</v>
      </c>
      <c r="J14" s="15"/>
      <c r="K14" s="13" t="s">
        <v>634</v>
      </c>
    </row>
    <row r="15" spans="1:11" ht="43.5">
      <c r="A15" s="13" t="s">
        <v>36</v>
      </c>
      <c r="B15" s="13" t="s">
        <v>659</v>
      </c>
      <c r="C15" s="13" t="s">
        <v>660</v>
      </c>
      <c r="D15" s="13" t="s">
        <v>637</v>
      </c>
      <c r="E15" s="13" t="s">
        <v>661</v>
      </c>
      <c r="F15" s="13" t="s">
        <v>662</v>
      </c>
      <c r="G15" s="13" t="s">
        <v>663</v>
      </c>
      <c r="H15" s="20" t="s">
        <v>633</v>
      </c>
      <c r="I15" s="15"/>
      <c r="J15" s="15"/>
      <c r="K15" s="13" t="s">
        <v>664</v>
      </c>
    </row>
    <row r="16" spans="1:11" ht="43.5">
      <c r="A16" s="13" t="s">
        <v>41</v>
      </c>
      <c r="B16" s="13" t="s">
        <v>665</v>
      </c>
      <c r="C16" s="13" t="s">
        <v>666</v>
      </c>
      <c r="D16" s="13" t="s">
        <v>637</v>
      </c>
      <c r="E16" s="13" t="s">
        <v>667</v>
      </c>
      <c r="F16" s="16" t="s">
        <v>668</v>
      </c>
      <c r="G16" s="13" t="s">
        <v>669</v>
      </c>
      <c r="H16" s="20" t="s">
        <v>633</v>
      </c>
      <c r="I16" s="15"/>
      <c r="J16" s="15"/>
      <c r="K16" s="13" t="s">
        <v>664</v>
      </c>
    </row>
    <row r="17" spans="1:11" ht="43.5">
      <c r="A17" s="13" t="s">
        <v>45</v>
      </c>
      <c r="B17" s="13" t="s">
        <v>670</v>
      </c>
      <c r="C17" s="13" t="s">
        <v>671</v>
      </c>
      <c r="D17" s="13" t="s">
        <v>637</v>
      </c>
      <c r="E17" s="13" t="s">
        <v>672</v>
      </c>
      <c r="F17" s="16" t="s">
        <v>673</v>
      </c>
      <c r="G17" s="13" t="s">
        <v>669</v>
      </c>
      <c r="H17" s="20" t="s">
        <v>633</v>
      </c>
      <c r="I17" s="15"/>
      <c r="J17" s="15"/>
      <c r="K17" s="13" t="s">
        <v>664</v>
      </c>
    </row>
    <row r="18" spans="1:11" ht="57.75">
      <c r="A18" s="13" t="s">
        <v>50</v>
      </c>
      <c r="B18" s="13" t="s">
        <v>674</v>
      </c>
      <c r="C18" s="13" t="s">
        <v>675</v>
      </c>
      <c r="D18" s="13"/>
      <c r="E18" s="13" t="s">
        <v>676</v>
      </c>
      <c r="F18" s="13" t="s">
        <v>677</v>
      </c>
      <c r="G18" s="13" t="s">
        <v>678</v>
      </c>
      <c r="H18" s="17" t="s">
        <v>633</v>
      </c>
      <c r="I18" s="13"/>
      <c r="J18" s="13"/>
      <c r="K18" s="13"/>
    </row>
    <row r="19" spans="1:11" ht="43.5">
      <c r="A19" s="13" t="s">
        <v>55</v>
      </c>
      <c r="B19" s="13" t="s">
        <v>679</v>
      </c>
      <c r="C19" s="13" t="s">
        <v>680</v>
      </c>
      <c r="D19" s="13"/>
      <c r="E19" s="13" t="s">
        <v>676</v>
      </c>
      <c r="F19" s="13" t="s">
        <v>681</v>
      </c>
      <c r="G19" s="13" t="s">
        <v>682</v>
      </c>
      <c r="H19" s="17" t="s">
        <v>633</v>
      </c>
      <c r="I19" s="13"/>
      <c r="J19" s="13"/>
      <c r="K19" s="13"/>
    </row>
    <row r="20" spans="1:11" ht="72">
      <c r="A20" s="13" t="s">
        <v>59</v>
      </c>
      <c r="B20" s="13" t="s">
        <v>683</v>
      </c>
      <c r="C20" s="13" t="s">
        <v>684</v>
      </c>
      <c r="D20" s="13"/>
      <c r="E20" s="13" t="s">
        <v>676</v>
      </c>
      <c r="F20" s="13" t="s">
        <v>685</v>
      </c>
      <c r="G20" s="13" t="s">
        <v>682</v>
      </c>
      <c r="H20" s="17" t="s">
        <v>633</v>
      </c>
      <c r="I20" s="13"/>
      <c r="J20" s="13"/>
      <c r="K20" s="13"/>
    </row>
    <row r="21" spans="1:11" ht="72">
      <c r="A21" s="13" t="s">
        <v>63</v>
      </c>
      <c r="B21" s="13" t="s">
        <v>686</v>
      </c>
      <c r="C21" s="13" t="s">
        <v>687</v>
      </c>
      <c r="D21" s="13"/>
      <c r="E21" s="13" t="s">
        <v>676</v>
      </c>
      <c r="F21" s="13" t="s">
        <v>688</v>
      </c>
      <c r="G21" s="13" t="s">
        <v>689</v>
      </c>
      <c r="H21" s="17" t="s">
        <v>633</v>
      </c>
      <c r="I21" s="13"/>
      <c r="J21" s="13"/>
      <c r="K21" s="13"/>
    </row>
    <row r="22" spans="1:11" ht="57.75">
      <c r="A22" s="13" t="s">
        <v>67</v>
      </c>
      <c r="B22" s="13" t="s">
        <v>690</v>
      </c>
      <c r="C22" s="13" t="s">
        <v>691</v>
      </c>
      <c r="D22" s="13"/>
      <c r="E22" s="13" t="s">
        <v>676</v>
      </c>
      <c r="F22" s="13" t="s">
        <v>692</v>
      </c>
      <c r="G22" s="13" t="s">
        <v>693</v>
      </c>
      <c r="H22" s="17" t="s">
        <v>633</v>
      </c>
      <c r="I22" s="13"/>
      <c r="J22" s="13"/>
      <c r="K22" s="13"/>
    </row>
    <row r="23" spans="1:11" ht="72">
      <c r="A23" s="13" t="s">
        <v>72</v>
      </c>
      <c r="B23" s="15" t="s">
        <v>694</v>
      </c>
      <c r="C23" s="15" t="s">
        <v>695</v>
      </c>
      <c r="D23" s="15"/>
      <c r="E23" s="13" t="s">
        <v>676</v>
      </c>
      <c r="F23" s="15"/>
      <c r="G23" s="15" t="s">
        <v>696</v>
      </c>
      <c r="H23" s="17" t="s">
        <v>633</v>
      </c>
      <c r="I23" s="15"/>
      <c r="J23" s="13"/>
      <c r="K23" s="13"/>
    </row>
    <row r="24" spans="1:11" ht="43.5">
      <c r="A24" s="13" t="s">
        <v>78</v>
      </c>
      <c r="B24" s="13" t="s">
        <v>697</v>
      </c>
      <c r="C24" s="13" t="s">
        <v>697</v>
      </c>
      <c r="D24" s="13"/>
      <c r="E24" s="13" t="s">
        <v>676</v>
      </c>
      <c r="F24" s="13"/>
      <c r="G24" s="13" t="s">
        <v>693</v>
      </c>
      <c r="H24" s="17" t="s">
        <v>633</v>
      </c>
      <c r="I24" s="13"/>
      <c r="J24" s="13"/>
      <c r="K24" s="13"/>
    </row>
    <row r="25" spans="1:11" ht="43.5">
      <c r="A25" s="13" t="s">
        <v>698</v>
      </c>
      <c r="B25" s="13" t="s">
        <v>699</v>
      </c>
      <c r="C25" s="13" t="s">
        <v>699</v>
      </c>
      <c r="D25" s="13"/>
      <c r="E25" s="13" t="s">
        <v>676</v>
      </c>
      <c r="F25" s="13" t="s">
        <v>700</v>
      </c>
      <c r="G25" s="13" t="s">
        <v>701</v>
      </c>
      <c r="H25" s="17" t="s">
        <v>633</v>
      </c>
      <c r="I25" s="13"/>
      <c r="J25" s="13"/>
      <c r="K25" s="13"/>
    </row>
    <row r="26" spans="1:11" ht="57.75">
      <c r="A26" s="13" t="s">
        <v>83</v>
      </c>
      <c r="B26" s="13" t="s">
        <v>702</v>
      </c>
      <c r="C26" s="13" t="s">
        <v>702</v>
      </c>
      <c r="D26" s="13"/>
      <c r="E26" s="13" t="s">
        <v>676</v>
      </c>
      <c r="F26" s="18" t="s">
        <v>703</v>
      </c>
      <c r="G26" s="13" t="s">
        <v>704</v>
      </c>
      <c r="H26" s="17" t="s">
        <v>633</v>
      </c>
      <c r="I26" s="13"/>
      <c r="J26" s="13"/>
      <c r="K26" s="13"/>
    </row>
    <row r="27" spans="1:11" ht="57.75">
      <c r="A27" s="13" t="s">
        <v>88</v>
      </c>
      <c r="B27" s="13" t="s">
        <v>705</v>
      </c>
      <c r="C27" s="13" t="s">
        <v>705</v>
      </c>
      <c r="D27" s="13"/>
      <c r="E27" s="13" t="s">
        <v>676</v>
      </c>
      <c r="F27" s="18" t="s">
        <v>706</v>
      </c>
      <c r="G27" s="13" t="s">
        <v>704</v>
      </c>
      <c r="H27" s="17" t="s">
        <v>633</v>
      </c>
      <c r="I27" s="13"/>
      <c r="J27" s="13"/>
      <c r="K27" s="13"/>
    </row>
    <row r="28" spans="1:11" ht="72">
      <c r="A28" s="13" t="s">
        <v>95</v>
      </c>
      <c r="B28" s="13" t="s">
        <v>707</v>
      </c>
      <c r="C28" s="13" t="s">
        <v>707</v>
      </c>
      <c r="D28" s="13"/>
      <c r="E28" s="13" t="s">
        <v>676</v>
      </c>
      <c r="F28" s="18" t="s">
        <v>708</v>
      </c>
      <c r="G28" s="13" t="s">
        <v>709</v>
      </c>
      <c r="H28" s="17" t="s">
        <v>633</v>
      </c>
      <c r="I28" s="13"/>
      <c r="J28" s="13"/>
      <c r="K28" s="13"/>
    </row>
    <row r="29" spans="1:11" ht="101.25">
      <c r="A29" s="13" t="s">
        <v>99</v>
      </c>
      <c r="B29" s="13" t="s">
        <v>710</v>
      </c>
      <c r="C29" s="13" t="s">
        <v>711</v>
      </c>
      <c r="D29" s="13"/>
      <c r="E29" s="13" t="s">
        <v>676</v>
      </c>
      <c r="F29" s="13" t="s">
        <v>712</v>
      </c>
      <c r="G29" s="13" t="s">
        <v>713</v>
      </c>
      <c r="H29" s="17" t="s">
        <v>633</v>
      </c>
      <c r="I29" s="13" t="s">
        <v>714</v>
      </c>
      <c r="J29" s="13"/>
      <c r="K29" s="13"/>
    </row>
    <row r="30" spans="1:11" ht="48.75" customHeight="1">
      <c r="A30" s="13" t="s">
        <v>103</v>
      </c>
      <c r="B30" s="13" t="s">
        <v>715</v>
      </c>
      <c r="C30" s="13" t="s">
        <v>716</v>
      </c>
      <c r="D30" s="13" t="s">
        <v>717</v>
      </c>
      <c r="E30" s="13" t="s">
        <v>718</v>
      </c>
      <c r="F30" s="13" t="s">
        <v>719</v>
      </c>
      <c r="G30" s="13" t="s">
        <v>720</v>
      </c>
      <c r="H30" s="17" t="s">
        <v>633</v>
      </c>
      <c r="I30" s="15"/>
      <c r="J30" s="15"/>
      <c r="K30" s="13" t="s">
        <v>634</v>
      </c>
    </row>
    <row r="31" spans="1:11" ht="43.5">
      <c r="A31" s="13" t="s">
        <v>109</v>
      </c>
      <c r="B31" s="13" t="s">
        <v>721</v>
      </c>
      <c r="C31" s="13" t="s">
        <v>722</v>
      </c>
      <c r="D31" s="13" t="s">
        <v>723</v>
      </c>
      <c r="E31" s="13" t="s">
        <v>718</v>
      </c>
      <c r="F31" s="16">
        <v>987654321</v>
      </c>
      <c r="G31" s="13" t="s">
        <v>724</v>
      </c>
      <c r="H31" s="17" t="s">
        <v>633</v>
      </c>
      <c r="I31" s="15"/>
      <c r="J31" s="15"/>
      <c r="K31" s="13" t="s">
        <v>634</v>
      </c>
    </row>
    <row r="32" spans="1:11" ht="43.5">
      <c r="A32" s="13" t="s">
        <v>115</v>
      </c>
      <c r="B32" s="13" t="s">
        <v>725</v>
      </c>
      <c r="C32" s="13" t="s">
        <v>726</v>
      </c>
      <c r="D32" s="13" t="s">
        <v>637</v>
      </c>
      <c r="E32" s="13" t="s">
        <v>727</v>
      </c>
      <c r="F32" s="16" t="s">
        <v>728</v>
      </c>
      <c r="G32" s="13" t="s">
        <v>729</v>
      </c>
      <c r="H32" s="17" t="s">
        <v>633</v>
      </c>
      <c r="I32" s="15"/>
      <c r="J32" s="15"/>
      <c r="K32" s="13" t="s">
        <v>634</v>
      </c>
    </row>
    <row r="33" spans="1:11" ht="43.5">
      <c r="A33" s="13" t="s">
        <v>120</v>
      </c>
      <c r="B33" s="13" t="s">
        <v>730</v>
      </c>
      <c r="C33" s="13" t="s">
        <v>731</v>
      </c>
      <c r="D33" s="13" t="s">
        <v>637</v>
      </c>
      <c r="E33" s="13" t="s">
        <v>732</v>
      </c>
      <c r="F33" s="16" t="s">
        <v>733</v>
      </c>
      <c r="G33" s="13" t="s">
        <v>734</v>
      </c>
      <c r="H33" s="17" t="s">
        <v>633</v>
      </c>
      <c r="I33" s="15"/>
      <c r="J33" s="15"/>
      <c r="K33" s="13" t="s">
        <v>664</v>
      </c>
    </row>
    <row r="34" spans="1:11" ht="43.5">
      <c r="A34" s="13" t="s">
        <v>125</v>
      </c>
      <c r="B34" s="13" t="s">
        <v>735</v>
      </c>
      <c r="C34" s="13" t="s">
        <v>736</v>
      </c>
      <c r="D34" s="13" t="s">
        <v>637</v>
      </c>
      <c r="E34" s="13" t="s">
        <v>737</v>
      </c>
      <c r="F34" s="16" t="s">
        <v>738</v>
      </c>
      <c r="G34" s="13" t="s">
        <v>734</v>
      </c>
      <c r="H34" s="17" t="s">
        <v>633</v>
      </c>
      <c r="I34" s="15"/>
      <c r="J34" s="15"/>
      <c r="K34" s="13" t="s">
        <v>664</v>
      </c>
    </row>
    <row r="35" spans="1:11" ht="43.5">
      <c r="A35" s="13" t="s">
        <v>131</v>
      </c>
      <c r="B35" s="13" t="s">
        <v>739</v>
      </c>
      <c r="C35" s="13" t="s">
        <v>740</v>
      </c>
      <c r="D35" s="18" t="s">
        <v>741</v>
      </c>
      <c r="E35" s="13" t="s">
        <v>676</v>
      </c>
      <c r="F35" s="13"/>
      <c r="G35" s="13" t="s">
        <v>742</v>
      </c>
      <c r="H35" s="17" t="s">
        <v>633</v>
      </c>
      <c r="I35" s="13"/>
      <c r="J35" s="13"/>
      <c r="K35" s="13"/>
    </row>
    <row r="36" spans="1:11" ht="43.5">
      <c r="A36" s="13" t="s">
        <v>743</v>
      </c>
      <c r="B36" s="13" t="s">
        <v>744</v>
      </c>
      <c r="C36" s="13" t="s">
        <v>745</v>
      </c>
      <c r="D36" s="18" t="s">
        <v>741</v>
      </c>
      <c r="E36" s="13" t="s">
        <v>676</v>
      </c>
      <c r="F36" s="13" t="s">
        <v>746</v>
      </c>
      <c r="G36" s="13" t="s">
        <v>747</v>
      </c>
      <c r="H36" s="17" t="s">
        <v>633</v>
      </c>
      <c r="I36" s="13"/>
      <c r="J36" s="13"/>
      <c r="K36" s="13"/>
    </row>
    <row r="37" spans="1:11" ht="43.5">
      <c r="A37" s="13" t="s">
        <v>137</v>
      </c>
      <c r="B37" s="13" t="s">
        <v>748</v>
      </c>
      <c r="C37" s="13" t="s">
        <v>749</v>
      </c>
      <c r="D37" s="18" t="s">
        <v>741</v>
      </c>
      <c r="E37" s="13" t="s">
        <v>676</v>
      </c>
      <c r="F37" s="13" t="s">
        <v>750</v>
      </c>
      <c r="G37" s="13" t="s">
        <v>751</v>
      </c>
      <c r="H37" s="17" t="s">
        <v>633</v>
      </c>
      <c r="I37" s="13"/>
      <c r="J37" s="13"/>
      <c r="K37" s="13"/>
    </row>
    <row r="38" spans="1:11" ht="43.5">
      <c r="A38" s="13" t="s">
        <v>142</v>
      </c>
      <c r="B38" s="13" t="s">
        <v>752</v>
      </c>
      <c r="C38" s="13" t="s">
        <v>752</v>
      </c>
      <c r="D38" s="13"/>
      <c r="E38" s="13" t="s">
        <v>676</v>
      </c>
      <c r="F38" s="13" t="s">
        <v>753</v>
      </c>
      <c r="G38" s="13" t="s">
        <v>747</v>
      </c>
      <c r="H38" s="17" t="s">
        <v>633</v>
      </c>
      <c r="I38" s="13"/>
      <c r="J38" s="13"/>
      <c r="K38" s="13"/>
    </row>
    <row r="39" spans="1:11" ht="43.5">
      <c r="A39" s="13" t="s">
        <v>147</v>
      </c>
      <c r="B39" s="13" t="s">
        <v>754</v>
      </c>
      <c r="C39" s="13" t="s">
        <v>755</v>
      </c>
      <c r="D39" s="13"/>
      <c r="E39" s="13" t="s">
        <v>676</v>
      </c>
      <c r="F39" s="13" t="s">
        <v>756</v>
      </c>
      <c r="G39" s="13" t="s">
        <v>747</v>
      </c>
      <c r="H39" s="17" t="s">
        <v>633</v>
      </c>
      <c r="I39" s="13"/>
      <c r="J39" s="13"/>
      <c r="K39" s="13"/>
    </row>
    <row r="40" spans="1:11" ht="43.5">
      <c r="A40" s="13" t="s">
        <v>152</v>
      </c>
      <c r="B40" s="13" t="s">
        <v>757</v>
      </c>
      <c r="C40" s="13" t="s">
        <v>757</v>
      </c>
      <c r="D40" s="13"/>
      <c r="E40" s="13" t="s">
        <v>676</v>
      </c>
      <c r="F40" s="13" t="s">
        <v>758</v>
      </c>
      <c r="G40" s="13" t="s">
        <v>747</v>
      </c>
      <c r="H40" s="17" t="s">
        <v>633</v>
      </c>
      <c r="I40" s="13"/>
      <c r="J40" s="13"/>
      <c r="K40" s="13"/>
    </row>
    <row r="41" spans="1:11" ht="43.5">
      <c r="A41" s="13" t="s">
        <v>156</v>
      </c>
      <c r="B41" s="13" t="s">
        <v>759</v>
      </c>
      <c r="C41" s="13" t="s">
        <v>759</v>
      </c>
      <c r="D41" s="13"/>
      <c r="E41" s="13" t="s">
        <v>676</v>
      </c>
      <c r="F41" s="13" t="s">
        <v>760</v>
      </c>
      <c r="G41" s="13" t="s">
        <v>751</v>
      </c>
      <c r="H41" s="17" t="s">
        <v>633</v>
      </c>
      <c r="I41" s="13"/>
      <c r="J41" s="13"/>
      <c r="K41" s="13"/>
    </row>
    <row r="42" spans="1:11" ht="43.5">
      <c r="A42" s="13" t="s">
        <v>161</v>
      </c>
      <c r="B42" s="13" t="s">
        <v>761</v>
      </c>
      <c r="C42" s="13" t="s">
        <v>762</v>
      </c>
      <c r="D42" s="13"/>
      <c r="E42" s="13" t="s">
        <v>676</v>
      </c>
      <c r="F42" s="13" t="s">
        <v>763</v>
      </c>
      <c r="G42" s="13" t="s">
        <v>751</v>
      </c>
      <c r="H42" s="17" t="s">
        <v>633</v>
      </c>
      <c r="I42" s="13"/>
      <c r="J42" s="13"/>
      <c r="K42" s="13"/>
    </row>
    <row r="43" spans="1:11" ht="43.5">
      <c r="A43" s="13" t="s">
        <v>167</v>
      </c>
      <c r="B43" s="13" t="s">
        <v>764</v>
      </c>
      <c r="C43" s="13" t="s">
        <v>764</v>
      </c>
      <c r="D43" s="13"/>
      <c r="E43" s="13" t="s">
        <v>676</v>
      </c>
      <c r="F43" s="13" t="s">
        <v>765</v>
      </c>
      <c r="G43" s="13" t="s">
        <v>747</v>
      </c>
      <c r="H43" s="17" t="s">
        <v>633</v>
      </c>
      <c r="I43" s="13"/>
      <c r="J43" s="13"/>
      <c r="K43" s="13"/>
    </row>
    <row r="44" spans="1:11" ht="43.5">
      <c r="A44" s="13" t="s">
        <v>171</v>
      </c>
      <c r="B44" s="13" t="s">
        <v>766</v>
      </c>
      <c r="C44" s="13" t="s">
        <v>766</v>
      </c>
      <c r="D44" s="13"/>
      <c r="E44" s="13" t="s">
        <v>676</v>
      </c>
      <c r="F44" s="13" t="s">
        <v>767</v>
      </c>
      <c r="G44" s="13" t="s">
        <v>747</v>
      </c>
      <c r="H44" s="17" t="s">
        <v>633</v>
      </c>
      <c r="I44" s="13"/>
      <c r="J44" s="13"/>
      <c r="K44" s="13"/>
    </row>
    <row r="45" spans="1:11" ht="43.5">
      <c r="A45" s="13" t="s">
        <v>175</v>
      </c>
      <c r="B45" s="13" t="s">
        <v>768</v>
      </c>
      <c r="C45" s="13" t="s">
        <v>769</v>
      </c>
      <c r="D45" s="15"/>
      <c r="E45" s="13" t="s">
        <v>676</v>
      </c>
      <c r="F45" s="13" t="s">
        <v>770</v>
      </c>
      <c r="G45" s="13" t="s">
        <v>771</v>
      </c>
      <c r="H45" s="17" t="s">
        <v>633</v>
      </c>
      <c r="I45" s="13"/>
      <c r="J45" s="13"/>
      <c r="K45" s="13"/>
    </row>
    <row r="46" spans="1:11" ht="43.5">
      <c r="A46" s="13" t="s">
        <v>772</v>
      </c>
      <c r="B46" s="13" t="s">
        <v>773</v>
      </c>
      <c r="C46" s="13" t="s">
        <v>773</v>
      </c>
      <c r="D46" s="13"/>
      <c r="E46" s="13" t="s">
        <v>676</v>
      </c>
      <c r="F46" s="13" t="s">
        <v>774</v>
      </c>
      <c r="G46" s="13" t="s">
        <v>771</v>
      </c>
      <c r="H46" s="17" t="s">
        <v>633</v>
      </c>
      <c r="I46" s="13"/>
      <c r="J46" s="13"/>
      <c r="K46" s="13"/>
    </row>
    <row r="47" spans="1:11" ht="86.25">
      <c r="A47" s="13" t="s">
        <v>181</v>
      </c>
      <c r="B47" s="13" t="s">
        <v>775</v>
      </c>
      <c r="C47" s="13" t="s">
        <v>776</v>
      </c>
      <c r="D47" s="13"/>
      <c r="E47" s="13" t="s">
        <v>676</v>
      </c>
      <c r="F47" s="13">
        <v>1264647884</v>
      </c>
      <c r="G47" s="13" t="s">
        <v>747</v>
      </c>
      <c r="H47" s="17" t="s">
        <v>633</v>
      </c>
      <c r="I47" s="13"/>
      <c r="J47" s="13"/>
      <c r="K47" s="13"/>
    </row>
    <row r="48" spans="1:11" ht="43.5">
      <c r="A48" s="13" t="s">
        <v>777</v>
      </c>
      <c r="B48" s="13" t="s">
        <v>778</v>
      </c>
      <c r="C48" s="13" t="s">
        <v>726</v>
      </c>
      <c r="D48" s="13" t="s">
        <v>637</v>
      </c>
      <c r="E48" s="13" t="s">
        <v>779</v>
      </c>
      <c r="F48" s="16" t="s">
        <v>780</v>
      </c>
      <c r="G48" s="13" t="s">
        <v>729</v>
      </c>
      <c r="H48" s="17" t="s">
        <v>633</v>
      </c>
      <c r="I48" s="15"/>
      <c r="J48" s="15"/>
      <c r="K48" s="13" t="s">
        <v>634</v>
      </c>
    </row>
    <row r="49" spans="1:11" ht="93" customHeight="1">
      <c r="A49" s="13" t="s">
        <v>186</v>
      </c>
      <c r="B49" s="13" t="s">
        <v>781</v>
      </c>
      <c r="C49" s="13" t="s">
        <v>781</v>
      </c>
      <c r="D49" s="13"/>
      <c r="E49" s="13" t="s">
        <v>676</v>
      </c>
      <c r="F49" s="13">
        <v>84912345678</v>
      </c>
      <c r="G49" s="13" t="s">
        <v>747</v>
      </c>
      <c r="H49" s="17" t="s">
        <v>633</v>
      </c>
      <c r="I49" s="13"/>
      <c r="J49" s="13"/>
      <c r="K49" s="13"/>
    </row>
    <row r="50" spans="1:11" ht="57.75">
      <c r="A50" s="13" t="s">
        <v>191</v>
      </c>
      <c r="B50" s="13" t="s">
        <v>782</v>
      </c>
      <c r="C50" s="13" t="s">
        <v>782</v>
      </c>
      <c r="D50" s="13"/>
      <c r="E50" s="13" t="s">
        <v>676</v>
      </c>
      <c r="F50" s="13" t="s">
        <v>783</v>
      </c>
      <c r="G50" s="18" t="s">
        <v>784</v>
      </c>
      <c r="H50" s="17" t="s">
        <v>633</v>
      </c>
      <c r="I50" s="13"/>
      <c r="J50" s="13"/>
      <c r="K50" s="13"/>
    </row>
    <row r="51" spans="1:11" ht="43.5">
      <c r="A51" s="13" t="s">
        <v>196</v>
      </c>
      <c r="B51" s="13" t="s">
        <v>785</v>
      </c>
      <c r="C51" s="13" t="s">
        <v>786</v>
      </c>
      <c r="D51" s="13" t="s">
        <v>637</v>
      </c>
      <c r="E51" s="13" t="s">
        <v>787</v>
      </c>
      <c r="F51" s="13" t="s">
        <v>788</v>
      </c>
      <c r="G51" s="13" t="s">
        <v>789</v>
      </c>
      <c r="H51" s="17" t="s">
        <v>633</v>
      </c>
      <c r="I51" s="15"/>
      <c r="J51" s="15"/>
      <c r="K51" s="13" t="s">
        <v>634</v>
      </c>
    </row>
    <row r="52" spans="1:11" ht="57.75">
      <c r="A52" s="13" t="s">
        <v>200</v>
      </c>
      <c r="B52" s="13" t="s">
        <v>790</v>
      </c>
      <c r="C52" s="13" t="s">
        <v>791</v>
      </c>
      <c r="D52" s="13" t="s">
        <v>637</v>
      </c>
      <c r="E52" s="13" t="s">
        <v>792</v>
      </c>
      <c r="F52" s="19">
        <v>46211</v>
      </c>
      <c r="G52" s="13" t="s">
        <v>793</v>
      </c>
      <c r="H52" s="17" t="s">
        <v>633</v>
      </c>
      <c r="I52" s="15"/>
      <c r="J52" s="15"/>
      <c r="K52" s="13" t="s">
        <v>634</v>
      </c>
    </row>
    <row r="53" spans="1:11" ht="43.5">
      <c r="A53" s="13" t="s">
        <v>204</v>
      </c>
      <c r="B53" s="13" t="s">
        <v>794</v>
      </c>
      <c r="C53" s="13" t="s">
        <v>795</v>
      </c>
      <c r="D53" s="13" t="s">
        <v>637</v>
      </c>
      <c r="E53" s="13" t="s">
        <v>796</v>
      </c>
      <c r="F53" s="19">
        <v>36526</v>
      </c>
      <c r="G53" s="13" t="s">
        <v>797</v>
      </c>
      <c r="H53" s="17" t="s">
        <v>633</v>
      </c>
      <c r="I53" s="15"/>
      <c r="J53" s="15"/>
      <c r="K53" s="13" t="s">
        <v>653</v>
      </c>
    </row>
    <row r="54" spans="1:11" ht="72">
      <c r="A54" s="13" t="s">
        <v>208</v>
      </c>
      <c r="B54" s="13" t="s">
        <v>798</v>
      </c>
      <c r="C54" s="13" t="s">
        <v>799</v>
      </c>
      <c r="D54" s="13" t="s">
        <v>637</v>
      </c>
      <c r="E54" s="13" t="s">
        <v>800</v>
      </c>
      <c r="F54" s="13" t="s">
        <v>801</v>
      </c>
      <c r="G54" s="13" t="s">
        <v>802</v>
      </c>
      <c r="H54" s="17" t="s">
        <v>633</v>
      </c>
      <c r="I54" s="15"/>
      <c r="J54" s="15"/>
      <c r="K54" s="13" t="s">
        <v>634</v>
      </c>
    </row>
    <row r="55" spans="1:11" ht="94.5" customHeight="1">
      <c r="A55" s="13"/>
      <c r="B55" s="13" t="s">
        <v>803</v>
      </c>
      <c r="C55" s="13"/>
      <c r="D55" s="13"/>
      <c r="E55" s="13" t="s">
        <v>804</v>
      </c>
      <c r="F55" s="13"/>
      <c r="G55" s="13" t="s">
        <v>805</v>
      </c>
      <c r="H55" s="17" t="s">
        <v>633</v>
      </c>
      <c r="I55" s="15"/>
      <c r="J55" s="15"/>
      <c r="K55" s="13"/>
    </row>
    <row r="56" spans="1:11" ht="43.5">
      <c r="A56" s="13" t="s">
        <v>222</v>
      </c>
      <c r="B56" s="13" t="s">
        <v>806</v>
      </c>
      <c r="C56" s="13" t="s">
        <v>807</v>
      </c>
      <c r="D56" s="13" t="s">
        <v>637</v>
      </c>
      <c r="E56" s="13" t="s">
        <v>808</v>
      </c>
      <c r="F56" s="13" t="s">
        <v>809</v>
      </c>
      <c r="G56" s="13" t="s">
        <v>810</v>
      </c>
      <c r="H56" s="17" t="s">
        <v>633</v>
      </c>
      <c r="I56" s="15"/>
      <c r="J56" s="15"/>
      <c r="K56" s="13" t="s">
        <v>634</v>
      </c>
    </row>
    <row r="57" spans="1:11" ht="43.5">
      <c r="A57" s="13" t="s">
        <v>811</v>
      </c>
      <c r="B57" s="13" t="s">
        <v>812</v>
      </c>
      <c r="C57" s="13" t="s">
        <v>813</v>
      </c>
      <c r="D57" s="13" t="s">
        <v>637</v>
      </c>
      <c r="E57" s="13" t="s">
        <v>814</v>
      </c>
      <c r="F57" s="13" t="s">
        <v>815</v>
      </c>
      <c r="G57" s="13" t="s">
        <v>816</v>
      </c>
      <c r="H57" s="17" t="s">
        <v>633</v>
      </c>
      <c r="I57" s="15"/>
      <c r="J57" s="15"/>
      <c r="K57" s="13" t="s">
        <v>664</v>
      </c>
    </row>
    <row r="58" spans="1:11" ht="43.5">
      <c r="A58" s="13" t="s">
        <v>228</v>
      </c>
      <c r="B58" s="13" t="s">
        <v>817</v>
      </c>
      <c r="C58" s="13"/>
      <c r="D58" s="13"/>
      <c r="E58" s="13" t="s">
        <v>818</v>
      </c>
      <c r="F58" s="13"/>
      <c r="G58" s="13" t="s">
        <v>819</v>
      </c>
      <c r="H58" s="17" t="s">
        <v>633</v>
      </c>
      <c r="I58" s="15"/>
      <c r="J58" s="15"/>
      <c r="K58" s="13"/>
    </row>
    <row r="59" spans="1:11" ht="43.5">
      <c r="A59" s="13" t="s">
        <v>820</v>
      </c>
      <c r="B59" s="13" t="s">
        <v>821</v>
      </c>
      <c r="C59" s="13" t="s">
        <v>822</v>
      </c>
      <c r="D59" s="13" t="s">
        <v>823</v>
      </c>
      <c r="E59" s="13" t="s">
        <v>824</v>
      </c>
      <c r="F59" s="16" t="s">
        <v>825</v>
      </c>
      <c r="G59" s="13" t="s">
        <v>826</v>
      </c>
      <c r="H59" s="17" t="s">
        <v>633</v>
      </c>
      <c r="I59" s="15"/>
      <c r="J59" s="15"/>
      <c r="K59" s="13" t="s">
        <v>634</v>
      </c>
    </row>
    <row r="60" spans="1:11" ht="57.75">
      <c r="A60" s="13" t="s">
        <v>240</v>
      </c>
      <c r="B60" s="13" t="s">
        <v>827</v>
      </c>
      <c r="C60" s="13" t="s">
        <v>828</v>
      </c>
      <c r="D60" s="13" t="s">
        <v>637</v>
      </c>
      <c r="E60" s="13" t="s">
        <v>829</v>
      </c>
      <c r="F60" s="13" t="s">
        <v>830</v>
      </c>
      <c r="G60" s="13" t="s">
        <v>831</v>
      </c>
      <c r="H60" s="17" t="s">
        <v>633</v>
      </c>
      <c r="I60" s="15"/>
      <c r="J60" s="15"/>
      <c r="K60" s="13" t="s">
        <v>634</v>
      </c>
    </row>
    <row r="61" spans="1:11" ht="72">
      <c r="A61" s="13" t="s">
        <v>245</v>
      </c>
      <c r="B61" s="13" t="s">
        <v>832</v>
      </c>
      <c r="C61" s="13" t="s">
        <v>833</v>
      </c>
      <c r="D61" s="13" t="s">
        <v>637</v>
      </c>
      <c r="E61" s="13" t="s">
        <v>834</v>
      </c>
      <c r="F61" s="13" t="s">
        <v>835</v>
      </c>
      <c r="G61" s="13" t="s">
        <v>836</v>
      </c>
      <c r="H61" s="17" t="s">
        <v>633</v>
      </c>
      <c r="I61" s="15"/>
      <c r="J61" s="15"/>
      <c r="K61" s="13" t="s">
        <v>634</v>
      </c>
    </row>
    <row r="62" spans="1:11" ht="57.75">
      <c r="A62" s="13" t="s">
        <v>250</v>
      </c>
      <c r="B62" s="13" t="s">
        <v>837</v>
      </c>
      <c r="C62" s="13" t="s">
        <v>833</v>
      </c>
      <c r="D62" s="13" t="s">
        <v>637</v>
      </c>
      <c r="E62" s="13" t="s">
        <v>838</v>
      </c>
      <c r="F62" s="13" t="s">
        <v>835</v>
      </c>
      <c r="G62" s="13" t="s">
        <v>839</v>
      </c>
      <c r="H62" s="17" t="s">
        <v>633</v>
      </c>
      <c r="I62" s="15"/>
      <c r="J62" s="15"/>
      <c r="K62" s="13" t="s">
        <v>634</v>
      </c>
    </row>
    <row r="63" spans="1:11" ht="43.5">
      <c r="A63" s="13" t="s">
        <v>256</v>
      </c>
      <c r="B63" s="13" t="s">
        <v>840</v>
      </c>
      <c r="C63" s="13" t="s">
        <v>841</v>
      </c>
      <c r="D63" s="13" t="s">
        <v>637</v>
      </c>
      <c r="E63" s="13" t="s">
        <v>842</v>
      </c>
      <c r="F63" s="13" t="s">
        <v>788</v>
      </c>
      <c r="G63" s="13" t="s">
        <v>843</v>
      </c>
      <c r="H63" s="17" t="s">
        <v>633</v>
      </c>
      <c r="I63" s="15"/>
      <c r="J63" s="15"/>
      <c r="K63" s="13" t="s">
        <v>634</v>
      </c>
    </row>
    <row r="64" spans="1:11" ht="43.5">
      <c r="A64" s="13" t="s">
        <v>262</v>
      </c>
      <c r="B64" s="13" t="s">
        <v>844</v>
      </c>
      <c r="C64" s="13" t="s">
        <v>845</v>
      </c>
      <c r="D64" s="13" t="s">
        <v>846</v>
      </c>
      <c r="E64" s="13" t="s">
        <v>847</v>
      </c>
      <c r="F64" s="13" t="s">
        <v>848</v>
      </c>
      <c r="G64" s="13" t="s">
        <v>849</v>
      </c>
      <c r="H64" s="17" t="s">
        <v>633</v>
      </c>
      <c r="I64" s="15"/>
      <c r="J64" s="15"/>
      <c r="K64" s="13" t="s">
        <v>653</v>
      </c>
    </row>
    <row r="65" spans="1:11" ht="43.5">
      <c r="A65" s="13" t="s">
        <v>267</v>
      </c>
      <c r="B65" s="13" t="s">
        <v>850</v>
      </c>
      <c r="C65" s="13" t="s">
        <v>851</v>
      </c>
      <c r="D65" s="13" t="s">
        <v>846</v>
      </c>
      <c r="E65" s="13" t="s">
        <v>852</v>
      </c>
      <c r="F65" s="13" t="s">
        <v>853</v>
      </c>
      <c r="G65" s="13" t="s">
        <v>854</v>
      </c>
      <c r="H65" s="17" t="s">
        <v>633</v>
      </c>
      <c r="I65" s="15"/>
      <c r="J65" s="15"/>
      <c r="K65" s="13" t="s">
        <v>664</v>
      </c>
    </row>
    <row r="66" spans="1:11" ht="43.5">
      <c r="A66" s="13" t="s">
        <v>273</v>
      </c>
      <c r="B66" s="13" t="s">
        <v>855</v>
      </c>
      <c r="C66" s="13" t="s">
        <v>856</v>
      </c>
      <c r="D66" s="13" t="s">
        <v>846</v>
      </c>
      <c r="E66" s="13" t="s">
        <v>857</v>
      </c>
      <c r="F66" s="13" t="s">
        <v>858</v>
      </c>
      <c r="G66" s="13" t="s">
        <v>859</v>
      </c>
      <c r="H66" s="17" t="s">
        <v>633</v>
      </c>
      <c r="I66" s="15"/>
      <c r="J66" s="15"/>
      <c r="K66" s="13" t="s">
        <v>664</v>
      </c>
    </row>
    <row r="67" spans="1:11" ht="43.5">
      <c r="A67" s="13" t="s">
        <v>279</v>
      </c>
      <c r="B67" s="13" t="s">
        <v>860</v>
      </c>
      <c r="C67" s="13" t="s">
        <v>861</v>
      </c>
      <c r="D67" s="13" t="s">
        <v>846</v>
      </c>
      <c r="E67" s="13" t="s">
        <v>862</v>
      </c>
      <c r="F67" s="16" t="s">
        <v>863</v>
      </c>
      <c r="G67" s="13" t="s">
        <v>864</v>
      </c>
      <c r="H67" s="17" t="s">
        <v>633</v>
      </c>
      <c r="I67" s="15"/>
      <c r="J67" s="15"/>
      <c r="K67" s="13" t="s">
        <v>664</v>
      </c>
    </row>
    <row r="68" spans="1:11" ht="43.5">
      <c r="A68" s="13" t="s">
        <v>865</v>
      </c>
      <c r="B68" s="13" t="s">
        <v>866</v>
      </c>
      <c r="C68" s="13" t="s">
        <v>867</v>
      </c>
      <c r="D68" s="13" t="s">
        <v>846</v>
      </c>
      <c r="E68" s="13" t="s">
        <v>868</v>
      </c>
      <c r="F68" s="16" t="s">
        <v>869</v>
      </c>
      <c r="G68" s="13" t="s">
        <v>870</v>
      </c>
      <c r="H68" s="17" t="s">
        <v>633</v>
      </c>
      <c r="I68" s="15"/>
      <c r="J68" s="15"/>
      <c r="K68" s="13" t="s">
        <v>634</v>
      </c>
    </row>
    <row r="69" spans="1:11" ht="28.5">
      <c r="A69" s="13" t="s">
        <v>285</v>
      </c>
      <c r="B69" s="13" t="s">
        <v>871</v>
      </c>
      <c r="C69" s="13" t="s">
        <v>872</v>
      </c>
      <c r="D69" s="13" t="s">
        <v>846</v>
      </c>
      <c r="E69" s="13" t="s">
        <v>873</v>
      </c>
      <c r="F69" s="13" t="s">
        <v>788</v>
      </c>
      <c r="G69" s="13" t="s">
        <v>874</v>
      </c>
      <c r="H69" s="17" t="s">
        <v>633</v>
      </c>
      <c r="I69" s="15"/>
      <c r="J69" s="15"/>
      <c r="K69" s="13" t="s">
        <v>634</v>
      </c>
    </row>
    <row r="70" spans="1:11" ht="28.5">
      <c r="A70" s="13" t="s">
        <v>290</v>
      </c>
      <c r="B70" s="13" t="s">
        <v>875</v>
      </c>
      <c r="C70" s="13" t="s">
        <v>876</v>
      </c>
      <c r="D70" s="13" t="s">
        <v>846</v>
      </c>
      <c r="E70" s="13" t="s">
        <v>877</v>
      </c>
      <c r="F70" s="13" t="s">
        <v>788</v>
      </c>
      <c r="G70" s="13" t="s">
        <v>878</v>
      </c>
      <c r="H70" s="17" t="s">
        <v>633</v>
      </c>
      <c r="I70" s="15"/>
      <c r="J70" s="15"/>
      <c r="K70" s="13" t="s">
        <v>634</v>
      </c>
    </row>
    <row r="71" spans="1:11" ht="43.5">
      <c r="A71" s="13" t="s">
        <v>296</v>
      </c>
      <c r="B71" s="13" t="s">
        <v>879</v>
      </c>
      <c r="C71" s="13" t="s">
        <v>880</v>
      </c>
      <c r="D71" s="13" t="s">
        <v>881</v>
      </c>
      <c r="E71" s="13" t="s">
        <v>882</v>
      </c>
      <c r="F71" s="16" t="s">
        <v>869</v>
      </c>
      <c r="G71" s="13" t="s">
        <v>883</v>
      </c>
      <c r="H71" s="17" t="s">
        <v>633</v>
      </c>
      <c r="I71" s="15"/>
      <c r="J71" s="15"/>
      <c r="K71" s="13" t="s">
        <v>634</v>
      </c>
    </row>
    <row r="72" spans="1:11" ht="86.25">
      <c r="A72" s="13" t="s">
        <v>302</v>
      </c>
      <c r="B72" s="13" t="s">
        <v>884</v>
      </c>
      <c r="C72" s="13" t="s">
        <v>885</v>
      </c>
      <c r="D72" s="13" t="s">
        <v>886</v>
      </c>
      <c r="E72" s="13" t="s">
        <v>887</v>
      </c>
      <c r="F72" s="13" t="s">
        <v>888</v>
      </c>
      <c r="G72" s="13" t="s">
        <v>889</v>
      </c>
      <c r="H72" s="17" t="s">
        <v>633</v>
      </c>
      <c r="I72" s="15"/>
      <c r="J72" s="15"/>
      <c r="K72" s="13" t="s">
        <v>664</v>
      </c>
    </row>
    <row r="73" spans="1:11" ht="30.75">
      <c r="A73" s="6" t="s">
        <v>285</v>
      </c>
      <c r="B73" s="6" t="s">
        <v>286</v>
      </c>
      <c r="C73" s="6" t="s">
        <v>287</v>
      </c>
      <c r="D73" s="6" t="s">
        <v>47</v>
      </c>
      <c r="E73" s="6" t="s">
        <v>288</v>
      </c>
      <c r="F73" s="6" t="s">
        <v>34</v>
      </c>
      <c r="G73" s="6" t="s">
        <v>289</v>
      </c>
      <c r="H73" s="17" t="s">
        <v>633</v>
      </c>
      <c r="I73" s="6"/>
      <c r="J73" s="6"/>
      <c r="K73" s="6"/>
    </row>
    <row r="74" spans="1:11" ht="45.75">
      <c r="A74" s="6" t="s">
        <v>296</v>
      </c>
      <c r="B74" s="6" t="s">
        <v>286</v>
      </c>
      <c r="C74" s="6" t="s">
        <v>297</v>
      </c>
      <c r="D74" s="6" t="s">
        <v>298</v>
      </c>
      <c r="E74" s="6" t="s">
        <v>299</v>
      </c>
      <c r="F74" s="6" t="s">
        <v>300</v>
      </c>
      <c r="G74" s="6" t="s">
        <v>301</v>
      </c>
      <c r="H74" s="17" t="s">
        <v>633</v>
      </c>
      <c r="I74" s="6"/>
      <c r="J74" s="6"/>
      <c r="K74" s="6"/>
    </row>
    <row r="75" spans="1:11" ht="30.75">
      <c r="A75" s="6" t="s">
        <v>302</v>
      </c>
      <c r="B75" s="6" t="s">
        <v>286</v>
      </c>
      <c r="C75" s="6" t="s">
        <v>303</v>
      </c>
      <c r="D75" s="6" t="s">
        <v>304</v>
      </c>
      <c r="E75" s="6" t="s">
        <v>293</v>
      </c>
      <c r="F75" s="6" t="s">
        <v>305</v>
      </c>
      <c r="G75" s="6" t="s">
        <v>306</v>
      </c>
      <c r="H75" s="6"/>
      <c r="I75" s="6"/>
      <c r="J75" s="6"/>
      <c r="K75" s="6"/>
    </row>
    <row r="76" spans="1:11" ht="30.75">
      <c r="A76" s="6" t="s">
        <v>307</v>
      </c>
      <c r="B76" s="6" t="s">
        <v>286</v>
      </c>
      <c r="C76" s="6" t="s">
        <v>308</v>
      </c>
      <c r="D76" s="6" t="s">
        <v>309</v>
      </c>
      <c r="E76" s="6" t="s">
        <v>310</v>
      </c>
      <c r="F76" s="6" t="s">
        <v>311</v>
      </c>
      <c r="G76" s="6" t="s">
        <v>312</v>
      </c>
      <c r="H76" s="6"/>
      <c r="I76" s="6"/>
      <c r="J76" s="6"/>
      <c r="K76" s="6"/>
    </row>
    <row r="77" spans="1:11" ht="30.75">
      <c r="A77" s="6" t="s">
        <v>313</v>
      </c>
      <c r="B77" s="6" t="s">
        <v>286</v>
      </c>
      <c r="C77" s="6" t="s">
        <v>314</v>
      </c>
      <c r="D77" s="6" t="s">
        <v>315</v>
      </c>
      <c r="E77" s="6" t="s">
        <v>316</v>
      </c>
      <c r="F77" s="6" t="s">
        <v>305</v>
      </c>
      <c r="G77" s="6" t="s">
        <v>317</v>
      </c>
      <c r="H77" s="6"/>
      <c r="I77" s="6"/>
      <c r="J77" s="6"/>
      <c r="K77" s="6"/>
    </row>
    <row r="78" spans="1:11">
      <c r="A78" s="6"/>
      <c r="B78" s="6"/>
      <c r="C78" s="6"/>
      <c r="D78" s="6"/>
      <c r="E78" s="6"/>
      <c r="F78" s="6"/>
      <c r="G78" s="6"/>
      <c r="H78" s="6"/>
      <c r="I78" s="6"/>
      <c r="J78" s="6"/>
      <c r="K78" s="6"/>
    </row>
    <row r="79" spans="1:11" ht="30.75">
      <c r="A79" s="6" t="s">
        <v>318</v>
      </c>
      <c r="B79" s="6" t="s">
        <v>286</v>
      </c>
      <c r="C79" s="6" t="s">
        <v>319</v>
      </c>
      <c r="D79" s="6" t="s">
        <v>320</v>
      </c>
      <c r="E79" s="6" t="s">
        <v>321</v>
      </c>
      <c r="F79" s="6" t="s">
        <v>322</v>
      </c>
      <c r="G79" s="6" t="s">
        <v>323</v>
      </c>
      <c r="H79" s="17" t="s">
        <v>633</v>
      </c>
      <c r="I79" s="6"/>
      <c r="J79" s="6"/>
      <c r="K79" s="6"/>
    </row>
    <row r="80" spans="1:11" ht="30.75">
      <c r="A80" s="6" t="s">
        <v>324</v>
      </c>
      <c r="B80" s="6" t="s">
        <v>286</v>
      </c>
      <c r="C80" s="6" t="s">
        <v>325</v>
      </c>
      <c r="D80" s="6" t="s">
        <v>326</v>
      </c>
      <c r="E80" s="6" t="s">
        <v>327</v>
      </c>
      <c r="F80" s="6"/>
      <c r="G80" s="6" t="s">
        <v>328</v>
      </c>
      <c r="H80" s="17" t="s">
        <v>633</v>
      </c>
      <c r="I80" s="6"/>
      <c r="J80" s="6"/>
      <c r="K80" s="6"/>
    </row>
    <row r="81" spans="1:11" ht="45.75">
      <c r="A81" s="6" t="s">
        <v>329</v>
      </c>
      <c r="B81" s="6" t="s">
        <v>286</v>
      </c>
      <c r="C81" s="6" t="s">
        <v>330</v>
      </c>
      <c r="D81" s="6" t="s">
        <v>331</v>
      </c>
      <c r="E81" s="6" t="s">
        <v>332</v>
      </c>
      <c r="F81" s="6" t="s">
        <v>333</v>
      </c>
      <c r="G81" s="6" t="s">
        <v>334</v>
      </c>
      <c r="H81" s="17" t="s">
        <v>633</v>
      </c>
      <c r="I81" s="6"/>
      <c r="J81" s="6"/>
      <c r="K81" s="6"/>
    </row>
    <row r="82" spans="1:11" ht="30.75">
      <c r="A82" s="6" t="s">
        <v>346</v>
      </c>
      <c r="B82" s="6" t="s">
        <v>336</v>
      </c>
      <c r="C82" s="6" t="s">
        <v>347</v>
      </c>
      <c r="D82" s="6" t="s">
        <v>348</v>
      </c>
      <c r="E82" s="6" t="s">
        <v>349</v>
      </c>
      <c r="F82" s="6"/>
      <c r="G82" s="6" t="s">
        <v>350</v>
      </c>
      <c r="H82" s="17" t="s">
        <v>633</v>
      </c>
      <c r="I82" s="6"/>
      <c r="J82" s="6"/>
      <c r="K82" s="6"/>
    </row>
    <row r="83" spans="1:11" ht="30.75">
      <c r="A83" s="6" t="s">
        <v>351</v>
      </c>
      <c r="B83" s="6" t="s">
        <v>336</v>
      </c>
      <c r="C83" s="6" t="s">
        <v>352</v>
      </c>
      <c r="D83" s="6" t="s">
        <v>343</v>
      </c>
      <c r="E83" s="6" t="s">
        <v>353</v>
      </c>
      <c r="F83" s="6"/>
      <c r="G83" s="6" t="s">
        <v>354</v>
      </c>
      <c r="H83" s="17" t="s">
        <v>633</v>
      </c>
      <c r="I83" s="6"/>
      <c r="J83" s="6"/>
      <c r="K83" s="6"/>
    </row>
    <row r="84" spans="1:11">
      <c r="A84" s="6" t="s">
        <v>355</v>
      </c>
      <c r="B84" s="6" t="s">
        <v>336</v>
      </c>
      <c r="C84" s="6" t="s">
        <v>356</v>
      </c>
      <c r="D84" s="6" t="s">
        <v>348</v>
      </c>
      <c r="E84" s="6" t="s">
        <v>357</v>
      </c>
      <c r="F84" s="6"/>
      <c r="G84" s="6" t="s">
        <v>358</v>
      </c>
      <c r="H84" s="17" t="s">
        <v>633</v>
      </c>
      <c r="I84" s="6"/>
      <c r="J84" s="6"/>
      <c r="K84" s="6"/>
    </row>
    <row r="85" spans="1:11" ht="30.75">
      <c r="A85" s="6" t="s">
        <v>359</v>
      </c>
      <c r="B85" s="6" t="s">
        <v>336</v>
      </c>
      <c r="C85" s="6" t="s">
        <v>360</v>
      </c>
      <c r="D85" s="6" t="s">
        <v>348</v>
      </c>
      <c r="E85" s="6" t="s">
        <v>361</v>
      </c>
      <c r="F85" s="6"/>
      <c r="G85" s="6" t="s">
        <v>890</v>
      </c>
      <c r="H85" s="17" t="s">
        <v>633</v>
      </c>
      <c r="I85" s="6"/>
      <c r="J85" s="6"/>
      <c r="K85" s="6"/>
    </row>
    <row r="86" spans="1:11" ht="61.5">
      <c r="A86" s="6" t="s">
        <v>367</v>
      </c>
      <c r="B86" s="6" t="s">
        <v>336</v>
      </c>
      <c r="C86" s="6" t="s">
        <v>368</v>
      </c>
      <c r="D86" s="6" t="s">
        <v>343</v>
      </c>
      <c r="E86" s="6" t="s">
        <v>369</v>
      </c>
      <c r="F86" s="6"/>
      <c r="G86" s="6" t="s">
        <v>370</v>
      </c>
      <c r="H86" s="17" t="s">
        <v>633</v>
      </c>
      <c r="I86" s="6"/>
      <c r="J86" s="6"/>
      <c r="K86" s="6"/>
    </row>
    <row r="87" spans="1:11" ht="45.75">
      <c r="A87" s="6" t="s">
        <v>376</v>
      </c>
      <c r="B87" s="6" t="s">
        <v>336</v>
      </c>
      <c r="C87" s="6" t="s">
        <v>377</v>
      </c>
      <c r="D87" s="6" t="s">
        <v>373</v>
      </c>
      <c r="E87" s="6" t="s">
        <v>378</v>
      </c>
      <c r="F87" s="6" t="s">
        <v>379</v>
      </c>
      <c r="G87" s="6" t="s">
        <v>891</v>
      </c>
      <c r="H87" s="17" t="s">
        <v>633</v>
      </c>
      <c r="I87" s="6"/>
      <c r="J87" s="6"/>
      <c r="K87" s="6"/>
    </row>
    <row r="88" spans="1:11" ht="61.5">
      <c r="A88" s="6" t="s">
        <v>381</v>
      </c>
      <c r="B88" s="6" t="s">
        <v>336</v>
      </c>
      <c r="C88" s="6" t="s">
        <v>382</v>
      </c>
      <c r="D88" s="6" t="s">
        <v>348</v>
      </c>
      <c r="E88" s="6" t="s">
        <v>892</v>
      </c>
      <c r="F88" s="10"/>
      <c r="G88" s="6" t="s">
        <v>893</v>
      </c>
      <c r="H88" s="17" t="s">
        <v>633</v>
      </c>
      <c r="I88" s="6"/>
      <c r="J88" s="6"/>
      <c r="K88" s="6"/>
    </row>
    <row r="89" spans="1:11" ht="45.75">
      <c r="A89" s="6" t="s">
        <v>385</v>
      </c>
      <c r="B89" s="6" t="s">
        <v>336</v>
      </c>
      <c r="C89" s="6" t="s">
        <v>386</v>
      </c>
      <c r="D89" s="6" t="s">
        <v>348</v>
      </c>
      <c r="E89" s="6" t="s">
        <v>387</v>
      </c>
      <c r="F89" s="12"/>
      <c r="G89" s="6" t="s">
        <v>894</v>
      </c>
      <c r="H89" s="17" t="s">
        <v>633</v>
      </c>
      <c r="I89" s="6"/>
      <c r="J89" s="6"/>
      <c r="K89" s="6"/>
    </row>
    <row r="90" spans="1:11" ht="45.75">
      <c r="A90" s="6" t="s">
        <v>389</v>
      </c>
      <c r="B90" s="6" t="s">
        <v>336</v>
      </c>
      <c r="C90" s="6" t="s">
        <v>390</v>
      </c>
      <c r="D90" s="6" t="s">
        <v>391</v>
      </c>
      <c r="E90" s="6" t="s">
        <v>895</v>
      </c>
      <c r="F90" s="12"/>
      <c r="G90" s="6" t="s">
        <v>393</v>
      </c>
      <c r="H90" s="6"/>
      <c r="I90" s="6"/>
      <c r="J90" s="6"/>
      <c r="K90" s="6"/>
    </row>
    <row r="91" spans="1:11" ht="45.75">
      <c r="A91" s="6" t="s">
        <v>394</v>
      </c>
      <c r="B91" s="6" t="s">
        <v>336</v>
      </c>
      <c r="C91" s="6" t="s">
        <v>395</v>
      </c>
      <c r="D91" s="6" t="s">
        <v>391</v>
      </c>
      <c r="E91" s="6" t="s">
        <v>396</v>
      </c>
      <c r="F91" s="6" t="s">
        <v>311</v>
      </c>
      <c r="G91" s="6" t="s">
        <v>397</v>
      </c>
      <c r="H91" s="6"/>
      <c r="I91" s="6"/>
      <c r="J91" s="6"/>
      <c r="K91" s="6"/>
    </row>
    <row r="92" spans="1:11" ht="30.75">
      <c r="A92" s="6" t="s">
        <v>398</v>
      </c>
      <c r="B92" s="6" t="s">
        <v>336</v>
      </c>
      <c r="C92" s="6" t="s">
        <v>399</v>
      </c>
      <c r="D92" s="6" t="s">
        <v>400</v>
      </c>
      <c r="E92" s="6" t="s">
        <v>339</v>
      </c>
      <c r="F92" s="6" t="s">
        <v>401</v>
      </c>
      <c r="G92" s="6" t="s">
        <v>402</v>
      </c>
      <c r="H92" s="6"/>
      <c r="I92" s="6"/>
      <c r="J92" s="6"/>
      <c r="K92" s="6"/>
    </row>
    <row r="93" spans="1:11">
      <c r="A93" s="6"/>
      <c r="B93" s="6"/>
      <c r="C93" s="6"/>
      <c r="D93" s="6"/>
      <c r="E93" s="6"/>
      <c r="F93" s="6"/>
      <c r="G93" s="6"/>
      <c r="H93" s="6"/>
      <c r="I93" s="6"/>
      <c r="J93" s="6"/>
      <c r="K93" s="6"/>
    </row>
    <row r="94" spans="1:11" ht="61.5">
      <c r="A94" s="6" t="s">
        <v>403</v>
      </c>
      <c r="B94" s="6" t="s">
        <v>336</v>
      </c>
      <c r="C94" s="6" t="s">
        <v>404</v>
      </c>
      <c r="D94" s="6" t="s">
        <v>391</v>
      </c>
      <c r="E94" s="6" t="s">
        <v>405</v>
      </c>
      <c r="F94" s="12"/>
      <c r="G94" s="6" t="s">
        <v>406</v>
      </c>
      <c r="H94" s="6"/>
      <c r="I94" s="6"/>
      <c r="J94" s="6"/>
      <c r="K94" s="6"/>
    </row>
    <row r="95" spans="1:11" ht="76.5">
      <c r="A95" s="6" t="s">
        <v>407</v>
      </c>
      <c r="B95" s="6" t="s">
        <v>336</v>
      </c>
      <c r="C95" s="6" t="s">
        <v>408</v>
      </c>
      <c r="D95" s="6" t="s">
        <v>409</v>
      </c>
      <c r="E95" s="6" t="s">
        <v>410</v>
      </c>
      <c r="F95" s="6" t="s">
        <v>411</v>
      </c>
      <c r="G95" s="6" t="s">
        <v>412</v>
      </c>
      <c r="H95" s="6"/>
      <c r="I95" s="6"/>
      <c r="J95" s="6"/>
      <c r="K95" s="6"/>
    </row>
  </sheetData>
  <mergeCells count="5">
    <mergeCell ref="A1:E3"/>
    <mergeCell ref="A4:C4"/>
    <mergeCell ref="A5:C5"/>
    <mergeCell ref="A6:C6"/>
    <mergeCell ref="A7:C7"/>
  </mergeCells>
  <hyperlinks>
    <hyperlink ref="F10" r:id="rId1" xr:uid="{C36C397A-8F8F-49AE-98E4-369A2C75EABA}"/>
    <hyperlink ref="F14" r:id="rId2" xr:uid="{090DC112-6B73-46B7-ABDB-7D324D62DFB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9FFFD-1DC1-4967-9177-DE45B67BC5AF}">
  <dimension ref="A1:K44"/>
  <sheetViews>
    <sheetView tabSelected="1" topLeftCell="A35" workbookViewId="0">
      <selection activeCell="H38" sqref="H38:H39"/>
    </sheetView>
  </sheetViews>
  <sheetFormatPr defaultRowHeight="15"/>
  <cols>
    <col min="2" max="2" width="14.44140625" customWidth="1"/>
    <col min="3" max="3" width="18.33203125" customWidth="1"/>
    <col min="4" max="4" width="19.6640625" customWidth="1"/>
    <col min="5" max="5" width="18.44140625" customWidth="1"/>
    <col min="7" max="7" width="40.21875" customWidth="1"/>
    <col min="8" max="8" width="19.5546875" customWidth="1"/>
  </cols>
  <sheetData>
    <row r="1" spans="1:11">
      <c r="A1" s="26" t="s">
        <v>0</v>
      </c>
      <c r="B1" s="27"/>
      <c r="C1" s="27"/>
      <c r="D1" s="27"/>
      <c r="E1" s="28"/>
      <c r="F1" s="1"/>
      <c r="G1" s="1"/>
      <c r="H1" s="1"/>
      <c r="I1" s="1"/>
      <c r="J1" s="1"/>
      <c r="K1" s="1"/>
    </row>
    <row r="2" spans="1:11">
      <c r="A2" s="29"/>
      <c r="B2" s="30"/>
      <c r="C2" s="30"/>
      <c r="D2" s="30"/>
      <c r="E2" s="31"/>
      <c r="F2" s="1"/>
      <c r="G2" s="1"/>
      <c r="H2" s="1"/>
      <c r="I2" s="1"/>
      <c r="J2" s="1"/>
      <c r="K2" s="1"/>
    </row>
    <row r="3" spans="1:11">
      <c r="A3" s="32"/>
      <c r="B3" s="33"/>
      <c r="C3" s="33"/>
      <c r="D3" s="33"/>
      <c r="E3" s="34"/>
      <c r="F3" s="1"/>
      <c r="G3" s="1"/>
      <c r="H3" s="1"/>
      <c r="I3" s="1"/>
      <c r="J3" s="1"/>
      <c r="K3" s="1"/>
    </row>
    <row r="4" spans="1:11">
      <c r="A4" s="35" t="s">
        <v>1</v>
      </c>
      <c r="B4" s="36"/>
      <c r="C4" s="37"/>
      <c r="D4" s="4" t="s">
        <v>2</v>
      </c>
      <c r="E4" s="5">
        <f>COUNTIF(H10:H401,"PASS")</f>
        <v>31</v>
      </c>
      <c r="F4" s="6"/>
      <c r="G4" s="6"/>
      <c r="H4" s="6"/>
      <c r="I4" s="6"/>
      <c r="J4" s="6"/>
      <c r="K4" s="6"/>
    </row>
    <row r="5" spans="1:11">
      <c r="A5" s="35" t="s">
        <v>3</v>
      </c>
      <c r="B5" s="36"/>
      <c r="C5" s="37"/>
      <c r="D5" s="4"/>
      <c r="E5" s="5">
        <f>COUNTIF(H10:H401,"FAIL")</f>
        <v>0</v>
      </c>
      <c r="F5" s="6"/>
      <c r="G5" s="6"/>
      <c r="H5" s="6"/>
      <c r="I5" s="6"/>
      <c r="J5" s="6"/>
      <c r="K5" s="6"/>
    </row>
    <row r="6" spans="1:11">
      <c r="A6" s="35" t="s">
        <v>4</v>
      </c>
      <c r="B6" s="36"/>
      <c r="C6" s="37"/>
      <c r="D6" s="4"/>
      <c r="E6" s="5">
        <f>COUNTIF(H10:H401,"Pending")</f>
        <v>0</v>
      </c>
      <c r="G6" s="6"/>
      <c r="H6" s="6"/>
      <c r="I6" s="6"/>
      <c r="J6" s="6"/>
      <c r="K6" s="6"/>
    </row>
    <row r="7" spans="1:11">
      <c r="A7" s="35" t="s">
        <v>5</v>
      </c>
      <c r="B7" s="36"/>
      <c r="C7" s="37"/>
      <c r="D7" s="4"/>
      <c r="E7" s="5">
        <f>COUNTA(H10:H401)</f>
        <v>34</v>
      </c>
      <c r="F7" s="6"/>
      <c r="G7" s="6"/>
      <c r="H7" s="6"/>
      <c r="I7" s="6"/>
      <c r="J7" s="6"/>
      <c r="K7" s="6"/>
    </row>
    <row r="8" spans="1:11">
      <c r="A8" s="7"/>
      <c r="B8" s="8"/>
      <c r="C8" s="8"/>
      <c r="D8" s="8"/>
      <c r="E8" s="8"/>
      <c r="F8" s="9"/>
      <c r="G8" s="9"/>
      <c r="H8" s="9"/>
      <c r="I8" s="9"/>
      <c r="J8" s="9"/>
      <c r="K8" s="9"/>
    </row>
    <row r="9" spans="1:11" ht="101.25">
      <c r="A9" s="2" t="s">
        <v>6</v>
      </c>
      <c r="B9" s="2" t="s">
        <v>7</v>
      </c>
      <c r="C9" s="2" t="s">
        <v>8</v>
      </c>
      <c r="D9" s="2" t="s">
        <v>9</v>
      </c>
      <c r="E9" s="2" t="s">
        <v>10</v>
      </c>
      <c r="F9" s="2" t="s">
        <v>11</v>
      </c>
      <c r="G9" s="2" t="s">
        <v>12</v>
      </c>
      <c r="H9" s="2" t="s">
        <v>13</v>
      </c>
      <c r="I9" s="2" t="s">
        <v>14</v>
      </c>
      <c r="J9" s="2" t="s">
        <v>15</v>
      </c>
      <c r="K9" s="3" t="s">
        <v>16</v>
      </c>
    </row>
    <row r="10" spans="1:11" ht="63.75" customHeight="1">
      <c r="A10" s="21" t="s">
        <v>896</v>
      </c>
      <c r="B10" s="21" t="s">
        <v>897</v>
      </c>
      <c r="C10" s="21" t="s">
        <v>898</v>
      </c>
      <c r="D10" s="21" t="s">
        <v>899</v>
      </c>
      <c r="E10" s="21" t="s">
        <v>900</v>
      </c>
      <c r="F10" s="21"/>
      <c r="G10" s="21" t="s">
        <v>901</v>
      </c>
      <c r="H10" s="17" t="s">
        <v>633</v>
      </c>
      <c r="I10" s="22"/>
      <c r="J10" s="22"/>
      <c r="K10" s="21" t="s">
        <v>634</v>
      </c>
    </row>
    <row r="11" spans="1:11" ht="82.5" customHeight="1">
      <c r="A11" s="21" t="s">
        <v>902</v>
      </c>
      <c r="B11" s="21" t="s">
        <v>903</v>
      </c>
      <c r="C11" s="21" t="s">
        <v>904</v>
      </c>
      <c r="D11" s="21" t="s">
        <v>905</v>
      </c>
      <c r="E11" s="21" t="s">
        <v>906</v>
      </c>
      <c r="F11" s="21"/>
      <c r="G11" s="21" t="s">
        <v>907</v>
      </c>
      <c r="H11" s="17" t="s">
        <v>633</v>
      </c>
      <c r="I11" s="22"/>
      <c r="J11" s="22"/>
      <c r="K11" s="21" t="s">
        <v>634</v>
      </c>
    </row>
    <row r="12" spans="1:11" ht="107.25" customHeight="1">
      <c r="A12" s="21" t="s">
        <v>908</v>
      </c>
      <c r="B12" s="21" t="s">
        <v>909</v>
      </c>
      <c r="C12" s="21" t="s">
        <v>910</v>
      </c>
      <c r="D12" s="21" t="s">
        <v>905</v>
      </c>
      <c r="E12" s="21" t="s">
        <v>911</v>
      </c>
      <c r="F12" s="21"/>
      <c r="G12" s="21" t="s">
        <v>912</v>
      </c>
      <c r="H12" s="17" t="s">
        <v>633</v>
      </c>
      <c r="I12" s="22"/>
      <c r="J12" s="22"/>
      <c r="K12" s="21" t="s">
        <v>634</v>
      </c>
    </row>
    <row r="13" spans="1:11" ht="101.25" customHeight="1">
      <c r="A13" s="21" t="s">
        <v>913</v>
      </c>
      <c r="B13" s="21" t="s">
        <v>914</v>
      </c>
      <c r="C13" s="21" t="s">
        <v>915</v>
      </c>
      <c r="D13" s="21" t="s">
        <v>905</v>
      </c>
      <c r="E13" s="21" t="s">
        <v>916</v>
      </c>
      <c r="F13" s="21" t="s">
        <v>788</v>
      </c>
      <c r="G13" s="21" t="s">
        <v>917</v>
      </c>
      <c r="H13" s="17" t="s">
        <v>633</v>
      </c>
      <c r="I13" s="22"/>
      <c r="J13" s="22"/>
      <c r="K13" s="21" t="s">
        <v>634</v>
      </c>
    </row>
    <row r="14" spans="1:11" ht="102.75" customHeight="1">
      <c r="A14" s="21" t="s">
        <v>918</v>
      </c>
      <c r="B14" s="21" t="s">
        <v>919</v>
      </c>
      <c r="C14" s="21" t="s">
        <v>920</v>
      </c>
      <c r="D14" s="21" t="s">
        <v>905</v>
      </c>
      <c r="E14" s="21" t="s">
        <v>921</v>
      </c>
      <c r="F14" s="21" t="s">
        <v>788</v>
      </c>
      <c r="G14" s="21" t="s">
        <v>922</v>
      </c>
      <c r="H14" s="17" t="s">
        <v>633</v>
      </c>
      <c r="I14" s="22"/>
      <c r="J14" s="22"/>
      <c r="K14" s="21" t="s">
        <v>634</v>
      </c>
    </row>
    <row r="15" spans="1:11" ht="70.5" customHeight="1">
      <c r="A15" s="21"/>
      <c r="B15" s="21" t="s">
        <v>923</v>
      </c>
      <c r="C15" s="21" t="s">
        <v>924</v>
      </c>
      <c r="D15" s="21" t="s">
        <v>925</v>
      </c>
      <c r="E15" s="21" t="s">
        <v>926</v>
      </c>
      <c r="F15" s="21" t="s">
        <v>788</v>
      </c>
      <c r="G15" s="21" t="s">
        <v>927</v>
      </c>
      <c r="H15" s="17" t="s">
        <v>633</v>
      </c>
      <c r="I15" s="22"/>
      <c r="J15" s="22"/>
      <c r="K15" s="23" t="s">
        <v>633</v>
      </c>
    </row>
    <row r="16" spans="1:11" ht="88.5" customHeight="1">
      <c r="A16" s="21"/>
      <c r="B16" s="21" t="s">
        <v>928</v>
      </c>
      <c r="C16" s="21" t="s">
        <v>929</v>
      </c>
      <c r="D16" s="21" t="s">
        <v>905</v>
      </c>
      <c r="E16" s="21" t="s">
        <v>930</v>
      </c>
      <c r="F16" s="24" t="s">
        <v>931</v>
      </c>
      <c r="G16" s="21" t="s">
        <v>932</v>
      </c>
      <c r="H16" s="17" t="s">
        <v>633</v>
      </c>
      <c r="I16" s="22"/>
      <c r="J16" s="22"/>
      <c r="K16" s="23" t="s">
        <v>633</v>
      </c>
    </row>
    <row r="17" spans="1:11" ht="153.75" customHeight="1">
      <c r="A17" s="21"/>
      <c r="B17" s="21" t="s">
        <v>933</v>
      </c>
      <c r="C17" s="21" t="s">
        <v>934</v>
      </c>
      <c r="D17" s="21" t="s">
        <v>935</v>
      </c>
      <c r="E17" s="21" t="s">
        <v>936</v>
      </c>
      <c r="F17" s="21" t="s">
        <v>937</v>
      </c>
      <c r="G17" s="21" t="s">
        <v>938</v>
      </c>
      <c r="H17" s="17" t="s">
        <v>633</v>
      </c>
      <c r="I17" s="22" t="s">
        <v>939</v>
      </c>
      <c r="J17" s="22"/>
      <c r="K17" s="21" t="s">
        <v>634</v>
      </c>
    </row>
    <row r="18" spans="1:11" ht="142.5" customHeight="1">
      <c r="A18" s="21"/>
      <c r="B18" s="21" t="s">
        <v>940</v>
      </c>
      <c r="C18" s="21" t="s">
        <v>941</v>
      </c>
      <c r="D18" s="21" t="s">
        <v>942</v>
      </c>
      <c r="E18" s="21" t="s">
        <v>943</v>
      </c>
      <c r="F18" s="24" t="s">
        <v>944</v>
      </c>
      <c r="G18" s="21" t="s">
        <v>945</v>
      </c>
      <c r="H18" s="17" t="s">
        <v>633</v>
      </c>
      <c r="I18" s="22"/>
      <c r="J18" s="22"/>
      <c r="K18" s="21" t="s">
        <v>634</v>
      </c>
    </row>
    <row r="19" spans="1:11" ht="118.5" customHeight="1">
      <c r="A19" s="21"/>
      <c r="B19" s="21" t="s">
        <v>946</v>
      </c>
      <c r="C19" s="21" t="s">
        <v>947</v>
      </c>
      <c r="D19" s="21" t="s">
        <v>948</v>
      </c>
      <c r="E19" s="21" t="s">
        <v>949</v>
      </c>
      <c r="F19" s="21" t="s">
        <v>937</v>
      </c>
      <c r="G19" s="21" t="s">
        <v>950</v>
      </c>
      <c r="H19" s="17" t="s">
        <v>633</v>
      </c>
      <c r="I19" s="22"/>
      <c r="J19" s="22"/>
      <c r="K19" s="21" t="s">
        <v>634</v>
      </c>
    </row>
    <row r="20" spans="1:11" ht="63" customHeight="1">
      <c r="A20" s="21"/>
      <c r="B20" s="21" t="s">
        <v>951</v>
      </c>
      <c r="C20" s="21" t="s">
        <v>952</v>
      </c>
      <c r="D20" s="21" t="s">
        <v>953</v>
      </c>
      <c r="E20" s="21" t="s">
        <v>954</v>
      </c>
      <c r="F20" s="21" t="s">
        <v>955</v>
      </c>
      <c r="G20" s="21" t="s">
        <v>956</v>
      </c>
      <c r="H20" s="17" t="s">
        <v>633</v>
      </c>
      <c r="I20" s="22"/>
      <c r="J20" s="22"/>
      <c r="K20" s="21" t="s">
        <v>634</v>
      </c>
    </row>
    <row r="21" spans="1:11" ht="72">
      <c r="A21" s="21"/>
      <c r="B21" s="21" t="s">
        <v>957</v>
      </c>
      <c r="C21" s="21" t="s">
        <v>958</v>
      </c>
      <c r="D21" s="21" t="s">
        <v>953</v>
      </c>
      <c r="E21" s="21" t="s">
        <v>959</v>
      </c>
      <c r="F21" s="21" t="s">
        <v>960</v>
      </c>
      <c r="G21" s="21" t="s">
        <v>961</v>
      </c>
      <c r="H21" s="17" t="s">
        <v>633</v>
      </c>
      <c r="I21" s="22"/>
      <c r="J21" s="22"/>
      <c r="K21" s="21" t="s">
        <v>664</v>
      </c>
    </row>
    <row r="22" spans="1:11" ht="28.5">
      <c r="A22" s="21"/>
      <c r="B22" s="21" t="s">
        <v>962</v>
      </c>
      <c r="C22" s="21" t="s">
        <v>963</v>
      </c>
      <c r="D22" s="21" t="s">
        <v>905</v>
      </c>
      <c r="E22" s="21" t="s">
        <v>964</v>
      </c>
      <c r="F22" s="21" t="s">
        <v>965</v>
      </c>
      <c r="G22" s="21" t="s">
        <v>966</v>
      </c>
      <c r="H22" s="17" t="s">
        <v>633</v>
      </c>
      <c r="I22" s="22"/>
      <c r="J22" s="22"/>
      <c r="K22" s="21" t="s">
        <v>664</v>
      </c>
    </row>
    <row r="23" spans="1:11" ht="121.5" customHeight="1">
      <c r="A23" s="21"/>
      <c r="B23" s="21" t="s">
        <v>967</v>
      </c>
      <c r="C23" s="21" t="s">
        <v>968</v>
      </c>
      <c r="D23" s="21" t="s">
        <v>905</v>
      </c>
      <c r="E23" s="21" t="s">
        <v>969</v>
      </c>
      <c r="F23" s="21" t="s">
        <v>970</v>
      </c>
      <c r="G23" s="21" t="s">
        <v>971</v>
      </c>
      <c r="H23" s="17" t="s">
        <v>633</v>
      </c>
      <c r="I23" s="22"/>
      <c r="J23" s="22"/>
      <c r="K23" s="21" t="s">
        <v>664</v>
      </c>
    </row>
    <row r="24" spans="1:11" ht="133.5" customHeight="1">
      <c r="A24" s="21"/>
      <c r="B24" s="21" t="s">
        <v>972</v>
      </c>
      <c r="C24" s="21" t="s">
        <v>973</v>
      </c>
      <c r="D24" s="21" t="s">
        <v>905</v>
      </c>
      <c r="E24" s="21" t="s">
        <v>974</v>
      </c>
      <c r="F24" s="21" t="s">
        <v>975</v>
      </c>
      <c r="G24" s="21" t="s">
        <v>971</v>
      </c>
      <c r="H24" s="17" t="s">
        <v>633</v>
      </c>
      <c r="I24" s="22"/>
      <c r="J24" s="22"/>
      <c r="K24" s="21" t="s">
        <v>664</v>
      </c>
    </row>
    <row r="25" spans="1:11" ht="120" customHeight="1">
      <c r="A25" s="21"/>
      <c r="B25" s="21" t="s">
        <v>976</v>
      </c>
      <c r="C25" s="21" t="s">
        <v>977</v>
      </c>
      <c r="D25" s="21" t="s">
        <v>905</v>
      </c>
      <c r="E25" s="21" t="s">
        <v>978</v>
      </c>
      <c r="F25" s="21" t="s">
        <v>979</v>
      </c>
      <c r="G25" s="21" t="s">
        <v>971</v>
      </c>
      <c r="H25" s="17" t="s">
        <v>633</v>
      </c>
      <c r="I25" s="22"/>
      <c r="J25" s="22"/>
      <c r="K25" s="21" t="s">
        <v>664</v>
      </c>
    </row>
    <row r="26" spans="1:11" ht="138.75" customHeight="1">
      <c r="A26" s="21"/>
      <c r="B26" s="21" t="s">
        <v>980</v>
      </c>
      <c r="C26" s="21" t="s">
        <v>981</v>
      </c>
      <c r="D26" s="21" t="s">
        <v>905</v>
      </c>
      <c r="E26" s="21" t="s">
        <v>982</v>
      </c>
      <c r="F26" s="21" t="s">
        <v>983</v>
      </c>
      <c r="G26" s="21" t="s">
        <v>984</v>
      </c>
      <c r="H26" s="17" t="s">
        <v>633</v>
      </c>
      <c r="I26" s="22"/>
      <c r="J26" s="22"/>
      <c r="K26" s="21" t="s">
        <v>664</v>
      </c>
    </row>
    <row r="27" spans="1:11" ht="108.75" customHeight="1">
      <c r="A27" s="21"/>
      <c r="B27" s="21" t="s">
        <v>985</v>
      </c>
      <c r="C27" s="21" t="s">
        <v>986</v>
      </c>
      <c r="D27" s="21" t="s">
        <v>905</v>
      </c>
      <c r="E27" s="21" t="s">
        <v>987</v>
      </c>
      <c r="F27" s="21" t="s">
        <v>988</v>
      </c>
      <c r="G27" s="21" t="s">
        <v>989</v>
      </c>
      <c r="H27" s="17" t="s">
        <v>633</v>
      </c>
      <c r="I27" s="22"/>
      <c r="J27" s="22"/>
      <c r="K27" s="21" t="s">
        <v>664</v>
      </c>
    </row>
    <row r="28" spans="1:11" ht="99.75" customHeight="1">
      <c r="A28" s="21"/>
      <c r="B28" s="21" t="s">
        <v>990</v>
      </c>
      <c r="C28" s="21" t="s">
        <v>991</v>
      </c>
      <c r="D28" s="21" t="s">
        <v>905</v>
      </c>
      <c r="E28" s="21" t="s">
        <v>992</v>
      </c>
      <c r="F28" s="21" t="s">
        <v>993</v>
      </c>
      <c r="G28" s="21" t="s">
        <v>994</v>
      </c>
      <c r="H28" s="17" t="s">
        <v>633</v>
      </c>
      <c r="I28" s="22"/>
      <c r="J28" s="22"/>
      <c r="K28" s="21" t="s">
        <v>664</v>
      </c>
    </row>
    <row r="29" spans="1:11" ht="93.75" customHeight="1">
      <c r="A29" s="21"/>
      <c r="B29" s="21" t="s">
        <v>995</v>
      </c>
      <c r="C29" s="21" t="s">
        <v>996</v>
      </c>
      <c r="D29" s="21" t="s">
        <v>905</v>
      </c>
      <c r="E29" s="21" t="s">
        <v>997</v>
      </c>
      <c r="F29" s="21" t="s">
        <v>998</v>
      </c>
      <c r="G29" s="21" t="s">
        <v>999</v>
      </c>
      <c r="H29" s="17" t="s">
        <v>633</v>
      </c>
      <c r="I29" s="22"/>
      <c r="J29" s="22"/>
      <c r="K29" s="21" t="s">
        <v>664</v>
      </c>
    </row>
    <row r="30" spans="1:11" ht="80.25" customHeight="1">
      <c r="A30" s="21"/>
      <c r="B30" s="21" t="s">
        <v>1000</v>
      </c>
      <c r="C30" s="21" t="s">
        <v>1001</v>
      </c>
      <c r="D30" s="21" t="s">
        <v>905</v>
      </c>
      <c r="E30" s="21" t="s">
        <v>1002</v>
      </c>
      <c r="F30" s="21" t="s">
        <v>1003</v>
      </c>
      <c r="G30" s="21" t="s">
        <v>1004</v>
      </c>
      <c r="H30" s="17" t="s">
        <v>633</v>
      </c>
      <c r="I30" s="22"/>
      <c r="J30" s="22"/>
      <c r="K30" s="21" t="s">
        <v>664</v>
      </c>
    </row>
    <row r="31" spans="1:11" ht="97.5" customHeight="1">
      <c r="A31" s="21"/>
      <c r="B31" s="21" t="s">
        <v>1005</v>
      </c>
      <c r="C31" s="21" t="s">
        <v>1006</v>
      </c>
      <c r="D31" s="21" t="s">
        <v>905</v>
      </c>
      <c r="E31" s="21" t="s">
        <v>1007</v>
      </c>
      <c r="F31" s="21" t="s">
        <v>1008</v>
      </c>
      <c r="G31" s="21" t="s">
        <v>1009</v>
      </c>
      <c r="H31" s="17" t="s">
        <v>633</v>
      </c>
      <c r="I31" s="22"/>
      <c r="J31" s="22"/>
      <c r="K31" s="21" t="s">
        <v>664</v>
      </c>
    </row>
    <row r="32" spans="1:11" ht="138.75" customHeight="1">
      <c r="A32" s="21"/>
      <c r="B32" s="21" t="s">
        <v>1010</v>
      </c>
      <c r="C32" s="21" t="s">
        <v>1011</v>
      </c>
      <c r="D32" s="21" t="s">
        <v>905</v>
      </c>
      <c r="E32" s="21" t="s">
        <v>1012</v>
      </c>
      <c r="F32" s="21" t="s">
        <v>1013</v>
      </c>
      <c r="G32" s="21" t="s">
        <v>971</v>
      </c>
      <c r="H32" s="17" t="s">
        <v>633</v>
      </c>
      <c r="I32" s="22"/>
      <c r="J32" s="22"/>
      <c r="K32" s="21" t="s">
        <v>664</v>
      </c>
    </row>
    <row r="33" spans="1:11" ht="106.5" customHeight="1">
      <c r="A33" s="21"/>
      <c r="B33" s="21" t="s">
        <v>1014</v>
      </c>
      <c r="C33" s="21" t="s">
        <v>1015</v>
      </c>
      <c r="D33" s="21" t="s">
        <v>905</v>
      </c>
      <c r="E33" s="21" t="s">
        <v>1016</v>
      </c>
      <c r="F33" s="21" t="s">
        <v>1017</v>
      </c>
      <c r="G33" s="21" t="s">
        <v>1018</v>
      </c>
      <c r="H33" s="17" t="s">
        <v>633</v>
      </c>
      <c r="I33" s="22"/>
      <c r="J33" s="22"/>
      <c r="K33" s="21" t="s">
        <v>664</v>
      </c>
    </row>
    <row r="34" spans="1:11" ht="106.5" customHeight="1">
      <c r="A34" s="21"/>
      <c r="B34" s="21" t="s">
        <v>1019</v>
      </c>
      <c r="C34" s="21" t="s">
        <v>1020</v>
      </c>
      <c r="D34" s="21" t="s">
        <v>905</v>
      </c>
      <c r="E34" s="21" t="s">
        <v>1021</v>
      </c>
      <c r="F34" s="21" t="s">
        <v>1022</v>
      </c>
      <c r="G34" s="22" t="s">
        <v>1023</v>
      </c>
      <c r="H34" s="17" t="s">
        <v>633</v>
      </c>
      <c r="I34" s="22"/>
      <c r="J34" s="22"/>
      <c r="K34" s="21" t="s">
        <v>1024</v>
      </c>
    </row>
    <row r="35" spans="1:11" ht="130.5" customHeight="1">
      <c r="A35" s="21"/>
      <c r="B35" s="21" t="s">
        <v>1025</v>
      </c>
      <c r="C35" s="21" t="s">
        <v>1020</v>
      </c>
      <c r="D35" s="21" t="s">
        <v>905</v>
      </c>
      <c r="E35" s="21" t="s">
        <v>1021</v>
      </c>
      <c r="F35" s="21" t="s">
        <v>1022</v>
      </c>
      <c r="G35" s="21" t="s">
        <v>1026</v>
      </c>
      <c r="H35" s="17" t="s">
        <v>633</v>
      </c>
      <c r="I35" s="22"/>
      <c r="J35" s="22"/>
      <c r="K35" s="21" t="s">
        <v>1024</v>
      </c>
    </row>
    <row r="36" spans="1:11" ht="80.25" customHeight="1">
      <c r="A36" s="21"/>
      <c r="B36" s="21" t="s">
        <v>1027</v>
      </c>
      <c r="C36" s="21" t="s">
        <v>1028</v>
      </c>
      <c r="D36" s="21" t="s">
        <v>905</v>
      </c>
      <c r="E36" s="21" t="s">
        <v>1029</v>
      </c>
      <c r="F36" s="21" t="s">
        <v>1030</v>
      </c>
      <c r="G36" s="21" t="s">
        <v>1031</v>
      </c>
      <c r="H36" s="17" t="s">
        <v>633</v>
      </c>
      <c r="I36" s="22"/>
      <c r="J36" s="22"/>
      <c r="K36" s="21" t="s">
        <v>1032</v>
      </c>
    </row>
    <row r="37" spans="1:11" ht="92.25" customHeight="1">
      <c r="A37" s="21"/>
      <c r="B37" s="21" t="s">
        <v>1033</v>
      </c>
      <c r="C37" s="21" t="s">
        <v>1028</v>
      </c>
      <c r="D37" s="21" t="s">
        <v>905</v>
      </c>
      <c r="E37" s="21" t="s">
        <v>1029</v>
      </c>
      <c r="F37" s="21" t="s">
        <v>1030</v>
      </c>
      <c r="G37" s="21" t="s">
        <v>1031</v>
      </c>
      <c r="H37" s="17" t="s">
        <v>633</v>
      </c>
      <c r="I37" s="22"/>
      <c r="J37" s="22"/>
      <c r="K37" s="21" t="s">
        <v>1032</v>
      </c>
    </row>
    <row r="38" spans="1:11" ht="75" customHeight="1">
      <c r="A38" s="21"/>
      <c r="B38" s="21" t="s">
        <v>1034</v>
      </c>
      <c r="C38" s="21" t="s">
        <v>1035</v>
      </c>
      <c r="D38" s="21" t="s">
        <v>1036</v>
      </c>
      <c r="E38" s="21" t="s">
        <v>1037</v>
      </c>
      <c r="F38" s="24" t="s">
        <v>944</v>
      </c>
      <c r="G38" s="21" t="s">
        <v>1038</v>
      </c>
      <c r="H38" s="17" t="s">
        <v>633</v>
      </c>
      <c r="I38" s="22"/>
      <c r="J38" s="22"/>
      <c r="K38" s="21" t="s">
        <v>664</v>
      </c>
    </row>
    <row r="39" spans="1:11" ht="87.75" customHeight="1">
      <c r="A39" s="21"/>
      <c r="B39" s="21" t="s">
        <v>1039</v>
      </c>
      <c r="C39" s="21" t="s">
        <v>1040</v>
      </c>
      <c r="D39" s="21" t="s">
        <v>1036</v>
      </c>
      <c r="E39" s="21" t="s">
        <v>1041</v>
      </c>
      <c r="F39" s="21" t="s">
        <v>300</v>
      </c>
      <c r="G39" s="21" t="s">
        <v>1042</v>
      </c>
      <c r="H39" s="17" t="s">
        <v>633</v>
      </c>
      <c r="I39" s="22"/>
      <c r="J39" s="22"/>
      <c r="K39" s="21" t="s">
        <v>664</v>
      </c>
    </row>
    <row r="40" spans="1:11" ht="89.25" customHeight="1">
      <c r="A40" s="21"/>
      <c r="B40" s="21" t="s">
        <v>1043</v>
      </c>
      <c r="C40" s="21" t="s">
        <v>1044</v>
      </c>
      <c r="D40" s="21" t="s">
        <v>905</v>
      </c>
      <c r="E40" s="21" t="s">
        <v>1045</v>
      </c>
      <c r="F40" s="24" t="s">
        <v>1046</v>
      </c>
      <c r="G40" s="21" t="s">
        <v>1047</v>
      </c>
      <c r="H40" s="17" t="s">
        <v>633</v>
      </c>
      <c r="I40" s="22"/>
      <c r="J40" s="22"/>
      <c r="K40" s="21" t="s">
        <v>664</v>
      </c>
    </row>
    <row r="41" spans="1:11" ht="84.75" customHeight="1">
      <c r="A41" s="21"/>
      <c r="B41" s="21" t="s">
        <v>1048</v>
      </c>
      <c r="C41" s="21" t="s">
        <v>1049</v>
      </c>
      <c r="D41" s="21" t="s">
        <v>1050</v>
      </c>
      <c r="E41" s="21" t="s">
        <v>1051</v>
      </c>
      <c r="F41" s="24" t="s">
        <v>1052</v>
      </c>
      <c r="G41" s="21" t="s">
        <v>1053</v>
      </c>
      <c r="H41" s="21" t="s">
        <v>1054</v>
      </c>
      <c r="I41" s="22"/>
      <c r="J41" s="22"/>
      <c r="K41" s="21" t="s">
        <v>1055</v>
      </c>
    </row>
    <row r="42" spans="1:11" ht="108" customHeight="1">
      <c r="A42" s="21"/>
      <c r="B42" s="21" t="s">
        <v>1056</v>
      </c>
      <c r="C42" s="21" t="s">
        <v>1057</v>
      </c>
      <c r="D42" s="21" t="s">
        <v>1058</v>
      </c>
      <c r="E42" s="21" t="s">
        <v>1059</v>
      </c>
      <c r="F42" s="24" t="s">
        <v>1060</v>
      </c>
      <c r="G42" s="21" t="s">
        <v>1061</v>
      </c>
      <c r="H42" s="21" t="s">
        <v>1054</v>
      </c>
      <c r="I42" s="22"/>
      <c r="J42" s="22"/>
      <c r="K42" s="21" t="s">
        <v>1062</v>
      </c>
    </row>
    <row r="43" spans="1:11" hidden="1">
      <c r="A43" s="21"/>
      <c r="B43" s="25"/>
      <c r="C43" s="25"/>
      <c r="D43" s="25"/>
      <c r="E43" s="25"/>
      <c r="F43" s="25"/>
      <c r="G43" s="25"/>
      <c r="H43" s="25"/>
      <c r="I43" s="25"/>
      <c r="J43" s="25"/>
      <c r="K43" s="25"/>
    </row>
    <row r="44" spans="1:11" ht="144">
      <c r="A44" s="21"/>
      <c r="B44" s="21" t="s">
        <v>1063</v>
      </c>
      <c r="C44" s="21" t="s">
        <v>1064</v>
      </c>
      <c r="D44" s="21" t="s">
        <v>1036</v>
      </c>
      <c r="E44" s="21" t="s">
        <v>1065</v>
      </c>
      <c r="F44" s="21" t="s">
        <v>937</v>
      </c>
      <c r="G44" s="21" t="s">
        <v>1066</v>
      </c>
      <c r="H44" s="21" t="s">
        <v>1054</v>
      </c>
      <c r="I44" s="22"/>
      <c r="J44" s="22"/>
      <c r="K44" s="21" t="s">
        <v>664</v>
      </c>
    </row>
  </sheetData>
  <mergeCells count="5">
    <mergeCell ref="A1:E3"/>
    <mergeCell ref="A4:C4"/>
    <mergeCell ref="A5:C5"/>
    <mergeCell ref="A6:C6"/>
    <mergeCell ref="A7:C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Thuy Vu Thanh</cp:lastModifiedBy>
  <cp:revision/>
  <dcterms:created xsi:type="dcterms:W3CDTF">2026-07-01T07:43:10Z</dcterms:created>
  <dcterms:modified xsi:type="dcterms:W3CDTF">2026-07-03T02:53:02Z</dcterms:modified>
  <cp:category/>
  <cp:contentStatus/>
</cp:coreProperties>
</file>