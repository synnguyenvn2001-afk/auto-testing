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ode\tests\testcase\"/>
    </mc:Choice>
  </mc:AlternateContent>
  <xr:revisionPtr revIDLastSave="0" documentId="13_ncr:1_{B87DADFE-87BE-4FFC-8F35-3B99AFE1B6F8}" xr6:coauthVersionLast="47" xr6:coauthVersionMax="47" xr10:uidLastSave="{00000000-0000-0000-0000-000000000000}"/>
  <bookViews>
    <workbookView xWindow="19090" yWindow="-2600" windowWidth="25820" windowHeight="15500" xr2:uid="{00000000-000D-0000-FFFF-FFFF00000000}"/>
  </bookViews>
  <sheets>
    <sheet name="Đăng ký" sheetId="1" r:id="rId1"/>
    <sheet name="Đăng nhập" sheetId="2" r:id="rId2"/>
    <sheet name="Quên mật khẩu" sheetId="7" r:id="rId3"/>
    <sheet name="Thanh toán gói" sheetId="5" r:id="rId4"/>
    <sheet name="sheet"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7" l="1"/>
  <c r="E6" i="7"/>
  <c r="E5" i="7"/>
  <c r="E4" i="7"/>
  <c r="E7" i="6"/>
  <c r="E6" i="6"/>
  <c r="E5" i="6"/>
  <c r="E4" i="6"/>
  <c r="E7" i="5"/>
  <c r="E6" i="5"/>
  <c r="E5" i="5"/>
  <c r="E4" i="5"/>
  <c r="E7" i="2"/>
  <c r="E6" i="2"/>
  <c r="E5" i="2"/>
  <c r="E4" i="2"/>
  <c r="E7" i="1"/>
  <c r="E6" i="1"/>
  <c r="E5" i="1"/>
  <c r="E4" i="1"/>
</calcChain>
</file>

<file path=xl/sharedStrings.xml><?xml version="1.0" encoding="utf-8"?>
<sst xmlns="http://schemas.openxmlformats.org/spreadsheetml/2006/main" count="1333" uniqueCount="957">
  <si>
    <r>
      <t xml:space="preserve">KỊCH BẢN KIỂM THỬ
</t>
    </r>
    <r>
      <rPr>
        <sz val="16"/>
        <rFont val="Times New Roman"/>
        <family val="1"/>
      </rPr>
      <t>Dự án: &lt;&lt;Tên dự án&gt;&gt;</t>
    </r>
  </si>
  <si>
    <t>Số trường hợp kiểm thử đạt (Pass)</t>
  </si>
  <si>
    <t>x</t>
  </si>
  <si>
    <t>Số trường hợp kiểm thử không đạt (Fail)</t>
  </si>
  <si>
    <t>Số trường hợp kiểm thử Không test(Pending)</t>
  </si>
  <si>
    <t>Tổng số trường hợp kiểm thử</t>
  </si>
  <si>
    <t>Mã trường hợp kiểm thử</t>
  </si>
  <si>
    <r>
      <t xml:space="preserve">Chức năng
</t>
    </r>
    <r>
      <rPr>
        <i/>
        <sz val="11"/>
        <rFont val="Calibri"/>
        <family val="2"/>
        <scheme val="minor"/>
      </rPr>
      <t>&lt;&lt;Liệt kê các chức năng cần kiểm thử&gt;&gt;</t>
    </r>
  </si>
  <si>
    <r>
      <t xml:space="preserve">Mô tả
</t>
    </r>
    <r>
      <rPr>
        <i/>
        <sz val="11"/>
        <rFont val="Calibri"/>
        <family val="2"/>
        <scheme val="minor"/>
      </rPr>
      <t>&lt;&lt; Mô tả test case đáp ứng có kịch bản &gt;&gt;</t>
    </r>
  </si>
  <si>
    <r>
      <t xml:space="preserve">Điều kiện tiên quyết
</t>
    </r>
    <r>
      <rPr>
        <sz val="11"/>
        <rFont val="Calibri"/>
        <family val="2"/>
        <scheme val="minor"/>
      </rPr>
      <t>&lt;&lt; Mô tả điều kiện cần đáp ứng &gt;&gt;</t>
    </r>
  </si>
  <si>
    <r>
      <t xml:space="preserve">Các bước thực hiện
</t>
    </r>
    <r>
      <rPr>
        <i/>
        <sz val="11"/>
        <rFont val="Calibri"/>
        <family val="2"/>
        <scheme val="minor"/>
      </rPr>
      <t>&lt;&lt; Mô tả test case đáp ứng có kịch bản &gt;&gt;</t>
    </r>
  </si>
  <si>
    <r>
      <t xml:space="preserve">Dữ liệu test
</t>
    </r>
    <r>
      <rPr>
        <i/>
        <sz val="11"/>
        <rFont val="Calibri"/>
        <family val="2"/>
        <scheme val="minor"/>
      </rPr>
      <t>&lt;&lt;Dữ liệu cần để thực hiện kịch bản&gt;&gt;</t>
    </r>
  </si>
  <si>
    <r>
      <t xml:space="preserve">Kết quả mong muốn
</t>
    </r>
    <r>
      <rPr>
        <i/>
        <sz val="11"/>
        <rFont val="Calibri"/>
        <family val="2"/>
        <scheme val="minor"/>
      </rPr>
      <t>&lt;&lt; Mô tả kết quả mong muốn &gt;&gt;</t>
    </r>
  </si>
  <si>
    <r>
      <t xml:space="preserve">Kết quả
</t>
    </r>
    <r>
      <rPr>
        <i/>
        <sz val="11"/>
        <rFont val="Calibri"/>
        <family val="2"/>
        <scheme val="minor"/>
      </rPr>
      <t>&lt;&lt;Trạng thái Test&gt;&gt;</t>
    </r>
  </si>
  <si>
    <t>Người thực hiện</t>
  </si>
  <si>
    <t>Ngày thực hiện</t>
  </si>
  <si>
    <r>
      <t xml:space="preserve">Ghi chú
</t>
    </r>
    <r>
      <rPr>
        <i/>
        <sz val="11"/>
        <color theme="1"/>
        <rFont val="Calibri"/>
        <family val="2"/>
        <scheme val="minor"/>
      </rPr>
      <t>&lt;&lt; Bằng chứng lỗi, mã lỗi &gt;&gt;</t>
    </r>
  </si>
  <si>
    <t>Kiểm tra giao diện màn Đăng ký</t>
  </si>
  <si>
    <t>Kiểm tra giao diện chung</t>
  </si>
  <si>
    <t xml:space="preserve">Kiểm tra bố cục layout cân đối </t>
  </si>
  <si>
    <t>Ngươi dùng chưa đăng nhập tk</t>
  </si>
  <si>
    <t>1. Mở trình duyệt web trên PC
2. Truy cập URL màn hình Đăng ký.
3. Kiểm tra các thành phần giao diện
4. Kiểm tra kích thước và vị trí các thành phần, đảm bảo hiển thị đầy đủ và không bị che khuất.</t>
  </si>
  <si>
    <t>Màn hình Đăng ký hiển thị đầy đủ và chính xác các thành phần giao diện trên PC</t>
  </si>
  <si>
    <t>1. Mở trình duyệt web trên PC với độ phân giải màn hình 1920x1080.
2. Truy cập URL màn hình Đăng ký.
3. Kiểm tra các thành phần giao diện
4. Kiểm tra kích thước và vị trí các thành phần, đảm bảo hiển thị đầy đủ và không bị che khuất.</t>
  </si>
  <si>
    <t>Màn hình Đăng ký hiển thị đầy đủ và chính xác các thành phần giao diện trên PC với độ phân giải 1920x1080.</t>
  </si>
  <si>
    <t>1. Mở trình duyệt web trên PC với độ phân giải màn hình 1440x769.
2. Truy cập URL màn hình Đăng ký.
3. Kiểm tra các thành phần giao diện
4. Kiểm tra kích thước và vị trí các thành phần, đảm bảo hiển thị đầy đủ và không bị che khuất.</t>
  </si>
  <si>
    <t>Màn hình Đăng ký hiển thị đầy đủ và chính xác các thành phần giao diện trên PC với độ phân giải 1440x769.</t>
  </si>
  <si>
    <t>1. Mở trình duyệt web trên PC với độ phân giải màn hình 1280x720.
2. Truy cập URL màn hình Đăng ký.
3. Kiểm tra các thành phần giao diện
4. Kiểm tra kích thước và vị trí các thành phần, đảm bảo hiển thị đầy đủ và không bị che khuất.</t>
  </si>
  <si>
    <t>Màn hình Đăng ký hiển thị đầy đủ và chính xác các thành phần giao diện trên PC với độ phân giải 1280x720.</t>
  </si>
  <si>
    <t>Kiểm tra chức năng màn đăng ký</t>
  </si>
  <si>
    <t>Tên đăng nhập</t>
  </si>
  <si>
    <t>Kiểm tra nhập tên đăng nhập hợp lệ</t>
  </si>
  <si>
    <t>Xác minh người dùng có thể nhập tên đăng nhập hợp lệ vào ô nhập liệu tên đăng nhập.</t>
  </si>
  <si>
    <t>1. Truy cập trang đăng ký.
2. Nhập tên đăng nhập hợp lệ (chỉ chữ và số) vào ô 'Tên đăng nhập'.
3. Quan sát phản hồi của hệ thống.</t>
  </si>
  <si>
    <t>user1788</t>
  </si>
  <si>
    <t>Hệ thống chấp nhận tên đăng nhập hợp lệ</t>
  </si>
  <si>
    <t>Pass</t>
  </si>
  <si>
    <t>Kiểm tra khi nhập tên đăng nhập là chuỗi ký full chữ cái hoa/ thường</t>
  </si>
  <si>
    <t>Xác minh hệ thống không cho phép nhập tên đăng nhập là chuỗi ký full chữ cái</t>
  </si>
  <si>
    <t>1. Truy cập trang đăng ký.
2. Nhập tên đăng nhập  vào ô 'Tên đăng nhập'.
3. Quan sát thông báo lỗi.</t>
  </si>
  <si>
    <t>"username"
"THANHTHUY"</t>
  </si>
  <si>
    <t>Kiểm tra khi nhập tên đăng nhập là chuỗi ký full chữ cái mix ký tự hoa và thường</t>
  </si>
  <si>
    <t xml:space="preserve">
"Thanhthaoo"</t>
  </si>
  <si>
    <t>Kiểm tra khi nhập tên đăng nhập là chuỗi ký full chữ số</t>
  </si>
  <si>
    <t>"222222232"</t>
  </si>
  <si>
    <t>Kiểm tra nhập tên đăng nhập là chuỗi full ký tự đặc biệt</t>
  </si>
  <si>
    <t>Xác minh hệ thống không cho phép nhập tên đăng nhập là chuỗi ký tự đặc biệt.</t>
  </si>
  <si>
    <t>1. Truy cập trang đăng ký.
2. Nhập tên đăng nhập chứa ký tự đặc biệt vào ô 'Tên đăng nhập'.
3. Quan sát thông báo lỗi.</t>
  </si>
  <si>
    <t>!!!!!@@@##</t>
  </si>
  <si>
    <t>Hệ thống hiển thị thông báo lỗi 'Vui lòng nhập đúng định dạng. Ví dụ: anhnv, anhnv123"</t>
  </si>
  <si>
    <t>Kiểm tra nhập tên đăng nhập chứa ký tự đặc biệt</t>
  </si>
  <si>
    <t>Xác minh hệ thống không cho phép nhập tên đăng nhập chứa ký tự đặc biệt.</t>
  </si>
  <si>
    <t>user78!</t>
  </si>
  <si>
    <t>Kiểm tra nhập tên đăng nhập chứa khoảng trắng</t>
  </si>
  <si>
    <t>Xác minh hệ thống không cho phép nhập tên đăng nhập chứa khoảng trắng.</t>
  </si>
  <si>
    <t>1. Truy cập trang đăng ký.
2. Nhập tên đăng nhập chứa khoảng trắng vào ô 'Tên đăng nhập'.
3. Quan sát thông báo lỗi.</t>
  </si>
  <si>
    <t>user name</t>
  </si>
  <si>
    <t>Kiểm tra tên đăng nhập không trùng lặp</t>
  </si>
  <si>
    <t>Xác minh hệ thống ngăn chặn việc tạo tài khoản với tên đăng nhập đã tồn tại.</t>
  </si>
  <si>
    <t>Đã có tài khoản được tạo</t>
  </si>
  <si>
    <t>1. Truy cập màn hình Đăng ký tài khoản.
2. Nhập một tên đăng nhập đã tồn tại trong cơ sở dữ liệu.
3. Nhập các thông tin khác hợp lệ (mật khẩu, ...).
4. Nhấn Đăng ký.</t>
  </si>
  <si>
    <t>user178</t>
  </si>
  <si>
    <t>Hệ thống hiển thị popub thông báo lỗi cho biết "Tên đăng nhập đã được sử dụng".</t>
  </si>
  <si>
    <t>Kiểm tra cảnh báo tên đăng nhập trống</t>
  </si>
  <si>
    <t>Xác minh hệ thống hiển thị cảnh báo khi bỏ trống trường tên đăng nhập.</t>
  </si>
  <si>
    <t>1. Truy cập màn hình Đăng ký tài khoản.
2. Bỏ trống trường Tên đăng nhập.
3. Nhập các thông tin khác hợp lệ.
4. Nhấn Đăng ký.</t>
  </si>
  <si>
    <t>Hệ thống show inline:
Vui lòng điền tên đăng nhập</t>
  </si>
  <si>
    <t xml:space="preserve">Kiểm tra khi nhập tên đăng nhập là chuỗi ký tự all sapce </t>
  </si>
  <si>
    <t>Xác minh hệ thống không cho phép nhập tên đăng nhập chứa ký tự all sapce</t>
  </si>
  <si>
    <t>"              "</t>
  </si>
  <si>
    <t>Hệ thống tự đọng trim dữ liệu
 - hiển thị thông báo lỗi 'Vui lòng nhập đúng định dạng. Ví dụ: anhnv, anhnv123"</t>
  </si>
  <si>
    <t>Kiểm tra khi nhập tên đăng nhập là chuỗi ký chữ cái và ký tự đặc biệt</t>
  </si>
  <si>
    <t>Xác minh hệ thống không cho phép nhập tên đăng nhập là chuỗi ký chữ cái và ký tự đặc biệt</t>
  </si>
  <si>
    <t>"user^78"</t>
  </si>
  <si>
    <t>Kiểm tra khi nhập tên đăng nhập là chuỗi ký chữ số và ký tự đặc biệt</t>
  </si>
  <si>
    <t>"^^78"</t>
  </si>
  <si>
    <t>Kiểm tra khi nhập tên đăng nhập là chuỗi ký tự có chứa dấu tiếng việt</t>
  </si>
  <si>
    <t>Đặng thị 234</t>
  </si>
  <si>
    <t>Kiểm tra khi nhập tên đăng nhập là chuỗi ký tự hợp lệ với độ dái &lt; 100 ký tự (=1 ký tự)</t>
  </si>
  <si>
    <t xml:space="preserve">Xác minh hệ thống không cho phép nhập tên đăng nhập là chuỗi ký tự hợp lệ với độ dái &lt; 100 ký tự </t>
  </si>
  <si>
    <t>"u"</t>
  </si>
  <si>
    <t>"user23"</t>
  </si>
  <si>
    <t xml:space="preserve">Kiểm tra khi nhập tên đăng nhập là chuỗi ký tự hợp lệ với độ dái = 100 ký tự </t>
  </si>
  <si>
    <t xml:space="preserve">Xác minh hệ thống không cho phép nhập tên đăng nhập là chuỗi ký tự hợp lệ với độ dái = 100 ký tự </t>
  </si>
  <si>
    <t>Abc123Abc123Abc123Abc123Abc123Abc123Abc123Abc123XYZAbc123Abc123Abc123Abc123Abc123Abc123Abc123Abc1236</t>
  </si>
  <si>
    <t>Kiểm tra khi nhập tên đăng nhập là chuỗi ký tự hợp lệ chứa space ở đầu/cuối</t>
  </si>
  <si>
    <t>Xác minh hệ thống không cho phép nhập tên đăng nhập là chuỗi ký tự hợp lệ chứa space ở đầu/cuối</t>
  </si>
  <si>
    <t>" thanhnha"
"thanhthuy "
" thanhthuy "</t>
  </si>
  <si>
    <t>Hệ thống hiển thị thông báo lỗi 'Tên đăng nhập không được chứa khoảng trắng'. Không cho phép tiếp tục cho đến khi tên đăng nhập hợp lệ.</t>
  </si>
  <si>
    <t xml:space="preserve">Kiểm tra khi nhập tên đăng nhập là chuỗi ký tự hợp lệ với độ dái &gt; 100 ký tự </t>
  </si>
  <si>
    <t>Xác minh hệ thống giới hạn độ dài tối đa của tên đăng nhập.</t>
  </si>
  <si>
    <t>1. Truy cập trang đăng ký.
2. Nhập tên đăng nhập  vào ô 'Tên đăng nhập'.
3. Quan sát phản hồi của hệ thống.</t>
  </si>
  <si>
    <t>"user34263274763558...."</t>
  </si>
  <si>
    <t xml:space="preserve">Hệ thống hiển thị thông báo lỗi 'Tên đăng nhập không được vượt quá 100ký tự' </t>
  </si>
  <si>
    <t>Mật khẩu + Nhập lại mật khẩu</t>
  </si>
  <si>
    <t>Kiểm tra hiển thị khi nhập dữ liệu vào trường Mật khẩu</t>
  </si>
  <si>
    <t>Xác minh trường Mật khẩu được mã hóa sau khi nhập data</t>
  </si>
  <si>
    <t>1. Truy cập màn hình Đăng ký tài khoản.
2. Nhập một chuỗi bất kỳ vào trường Mật khẩu.
3. Quan sát ký tự hiển thị.</t>
  </si>
  <si>
    <t>Các ký tự nhập vào trường Mật khẩu được mã hóa và hiển thị dạng *******</t>
  </si>
  <si>
    <t>Đăng ký thành công với mật khẩu hợp lệ</t>
  </si>
  <si>
    <t>Kiểm tra đăng ký thành công khi nhập đầy đủ các điều kiện của mật khẩu</t>
  </si>
  <si>
    <t>1. Truy cập màn hình Đăng ký tài khoản.
2. Nhập tên đăng nhập hợp lệ.
3. Nhập mật khẩu có ít nhất 8 ký tự, bao gồm chữ hoa, chữ thường, số và ký tự đặc biệt.
4. Nhập XNMK khớp với MK
5.Nhấn Đăng ký.</t>
  </si>
  <si>
    <t>Tên đăng nhập:user1788
MK: User12345%^@
XNMK: User12345%^@</t>
  </si>
  <si>
    <t>Hệ thống đăng ký thành công và chuyển hướng đến trang chủ hoặc trang xác nhận tài khoản.</t>
  </si>
  <si>
    <t xml:space="preserve">Kiểm tra khi nhập dữ liệu hợp lệ </t>
  </si>
  <si>
    <t>Xác minh người dùng có thể nhập MK hợp lệ vào ô nhập liệu Mật khẩu.</t>
  </si>
  <si>
    <t>1. Truy cập màn hình Đăng ký tài khoản.
2. Nhập mật khẩu có ít nhất 8 ký tự, bao gồm chữ hoa, chữ thường, số và ký tự đặc biệt.
3. Quan sát ký tự hiển thị</t>
  </si>
  <si>
    <t>User12345%</t>
  </si>
  <si>
    <t>Hệ thống chấp nhận MK  hợp lệ</t>
  </si>
  <si>
    <t>Kiểm tra khi nhập dữ liệu với độ dài &lt; minlength ( 8 ký tự)</t>
  </si>
  <si>
    <t xml:space="preserve">Xác minh hệ thống không cho phép nhập dữ liệu với độ dài &lt; minlength ( 8 ký tự) </t>
  </si>
  <si>
    <t>1. Truy cập trang đăng ký.
2. Nhập tên đăng nhập hợp lệ.
3. Nhập mật khẩu có 6 ký tự.
4. Nhấn nút Đăng ký.</t>
  </si>
  <si>
    <t>User2%</t>
  </si>
  <si>
    <t>Hệ thống show inline:
Tối thiểu 8 ký tự. Bao gồm chữ in hoa, chữ thường, số và ký tự đặc biệt</t>
  </si>
  <si>
    <t>Kiểm tra khi nhập dữ liệu hợp lệ với độ dài = minlength ( 8 ký tự)</t>
  </si>
  <si>
    <t>Xác minh hệ thống cho phép  nhập mật khẩu có độ dài = 8 ký tự.</t>
  </si>
  <si>
    <t>1. Truy cập màn hình Đăng ký tài khoản.
2. Nhập tên đăng nhập hợp lệ.
3. Nhập mật khẩu có độ dài = 8 ký tự.
4. Nhấn Đăng ký.</t>
  </si>
  <si>
    <t>User69^^</t>
  </si>
  <si>
    <t>Kiểm tra mật khẩu là chuỗi  7 ký tự</t>
  </si>
  <si>
    <t>Mật khẩu dưới 8 ký tự không được chấp nhận.</t>
  </si>
  <si>
    <t>1. Truy cập trang đăng ký.
2. Nhập tên đăng nhập hợp lệ.
3. Nhập mật khẩu có 7 ký tự.
4. Nhấn nút Đăng ký.</t>
  </si>
  <si>
    <t>User26%</t>
  </si>
  <si>
    <t>Kiểm tra mật khẩu là chuỗi  9 ký tự</t>
  </si>
  <si>
    <t>Xác minh hệ thống cho phép  nhập mật khẩu có độ dài = 9 ký tự.</t>
  </si>
  <si>
    <t>1. Truy cập trang đăng ký.
2. Nhập tên đăng nhập hợp lệ.
3. Nhập mật khẩu có 9 ký tự.
4. Nhấn nút Đăng ký.</t>
  </si>
  <si>
    <t>User2338%</t>
  </si>
  <si>
    <t>Kiểm tra khi nhập dữ liệu với độ dài &gt; minlength ( 8 ký tự)</t>
  </si>
  <si>
    <t xml:space="preserve">Xác minh hệ thống không cho phép nhập dữ liệu với độ dài &gt;  minlength ( 8 ký tự) </t>
  </si>
  <si>
    <t>1. Truy cập trang đăng ký.
2. Nhập tên đăng nhập hợp lệ.
3. Nhập mật khẩu có 15ký tự.
4. Nhấn nút Đăng ký.</t>
  </si>
  <si>
    <t>Usermember2038%</t>
  </si>
  <si>
    <t>Kiểm tra ký tự viết hoa trong mật khẩu</t>
  </si>
  <si>
    <t>Xác minh hệ thống yêu cầu mật khẩu phải chứa ít nhất một chữ viết hoa.</t>
  </si>
  <si>
    <t>1. Truy cập màn hình Đăng ký tài khoản.
2. Nhập tên đăng nhập hợp lệ.
3. Nhập mật khẩu chỉ chứa chữ thường, số và ký tự đặc biệt
4. Nhấn Đăng ký.</t>
  </si>
  <si>
    <t>abcdefg1!</t>
  </si>
  <si>
    <t>Hệ thống hiển thị thông báo lỗi yêu cầu "Mật khẩu phải có ít nhất 1 ký tự viết hoa"</t>
  </si>
  <si>
    <t>Kiểm tra mật khẩu không có chữ viết thường</t>
  </si>
  <si>
    <t>Xác minh hệ thống hiển thị thông báo lỗi khi mật khẩu không chứa ít nhất một chữ viết thường.</t>
  </si>
  <si>
    <t>1. Truy cập màn hình Đăng ký tài khoản.
2. Nhập Tên đăng nhập hợp lệ.
3. Nhập mật khẩu chỉ chứa chữ hoa, số và ký tự đặc biệt 4. Nhấn Đăng ký.
5. Quan sát thông báo lỗi.</t>
  </si>
  <si>
    <t>ABHFD21!</t>
  </si>
  <si>
    <t>Hệ thống hiển thị thông báo lỗi: 'Mật khẩu phải chứa ít nhất một chữ viết thường'.</t>
  </si>
  <si>
    <t>Kiểm tra mật khẩu không có chữ số</t>
  </si>
  <si>
    <t>Xác minh hệ thống hiển thị thông báo lỗi khi mật khẩu không chứa ít nhất một chữ số.</t>
  </si>
  <si>
    <t>1. Truy cập màn hình Đăng ký tài khoản.
2. Nhập Tên đăng nhập hợp lệ.
3. Nhập mật khẩu chỉ chứa chữ hoa, chữ thường và ký tự đặc biệt
4. Nhấn Đăng ký.
5. Quan sát thông báo lỗi.</t>
  </si>
  <si>
    <t>Abcdgh%%</t>
  </si>
  <si>
    <t>Hệ thống hiển thị thông báo lỗi: 'Mật khẩu phải chứa ít nhất một chữ số'.</t>
  </si>
  <si>
    <t>Kiểm tra mật khẩu không có ký tự đặc biệt</t>
  </si>
  <si>
    <t>Xác minh hệ thống hiển thị thông báo lỗi khi mật khẩu không chứa ít nhất một ký tự đặc biệt.</t>
  </si>
  <si>
    <t>1. Truy cập màn hình Đăng ký tài khoản.
2. Nhập Tên đăng nhập hợp lệ.
3. Nhập mật khẩu chỉ chứa chữ hoa, chữ thường và số
4. Nhấn Đăng ký.
5. Quan sát thông báo lỗi.</t>
  </si>
  <si>
    <t>AbcDef123</t>
  </si>
  <si>
    <t>Hệ thống hiển thị thông báo lỗi: 'Mật khẩu phải chứa ít nhất một ký tự đặc biệt'.</t>
  </si>
  <si>
    <t>Kiểm tra thông báo lỗi khi để trống mật khẩu</t>
  </si>
  <si>
    <t>Xác minh hệ thống hiển thị thông báo lỗi khi người dùng cố gắng đăng ký mà không nhập mật khẩu.</t>
  </si>
  <si>
    <t>1. Truy cập màn hình Đăng ký tài khoản.
2. Nhập Tên đăng nhập hợp lệ.
3. Để trống trường mật khẩu.
4. Nhấn Đăng ký.
5. Quan sát thông báo lỗi.</t>
  </si>
  <si>
    <t>Hệ thống hiển thị thông báo lỗi: 'Vui lòng điền mật khẩu'.</t>
  </si>
  <si>
    <t>Kiểm tra khi nhập textbox Mật khẩu hợp lệ chứa space ở giữa</t>
  </si>
  <si>
    <t>Xác minh hệ thống hiển thị thông báo lỗi khi mật khẩu  chứa chứa space ở giữa</t>
  </si>
  <si>
    <t>1. Truy cập màn hình Đăng ký tài khoản.
2. Nhập Tên đăng nhập hợp lệ.
3. Nhập chuỗi ký tự chứa dấu cách ở giữa vào trường mật khẩu.
4. Nhấn Đăng ký.
5. Quan sát thông báo lỗi.</t>
  </si>
  <si>
    <t>Username 435523%</t>
  </si>
  <si>
    <t>Hệ thống tự động trim dữ liệu.
- hệ thống chấp nhận MK  hợp lệ</t>
  </si>
  <si>
    <t>Kiểm tra khi nhập textbox Mật khẩu hợp lệ chứa space ở đầu/cuối</t>
  </si>
  <si>
    <t>Xác minh hệ thống hiển thị thông báo lỗi khi mật khẩu  hợp lệ chứa space ở đầu/cuối</t>
  </si>
  <si>
    <t>1. Truy cập màn hình Đăng ký tài khoản.
2. Nhập Tên đăng nhập hợp lệ.
3. Nhập chuỗi ký tự chứa dấu cách ở đầu/cuối vào trường mật khẩu.
4. Nhấn Đăng ký.
5. Quan sát .</t>
  </si>
  <si>
    <t>" Thanhthuy6577%"
"Thanhthuy6787% "
"  Thanhthuy677899% "</t>
  </si>
  <si>
    <t xml:space="preserve">Kiểm tra khi nhập textbox Mật khẩu chứa chuỗi ký tự all space </t>
  </si>
  <si>
    <t xml:space="preserve">Xác minh hệ thống hiển thị thông báo lỗi khi  Mật khẩu chứa chuỗi ký tự all space </t>
  </si>
  <si>
    <t>1. Truy cập màn hình Đăng ký tài khoản.
2. Nhập Tên đăng nhập hợp lệ.
3. Nhập chuỗi ký tự chứa all spcae vào trường mật khẩu.
4. Nhấn Đăng ký.
5. Quan sát .</t>
  </si>
  <si>
    <t>"                        "</t>
  </si>
  <si>
    <t>Hệ thống tự động trim dữ liệu và  hiển thị thông báo lỗi: 'Vui lòng điền mật khẩu'.</t>
  </si>
  <si>
    <t>Kiểm tra trường Nhập lại mật khẩu khớp với mật khẩu đã nhập</t>
  </si>
  <si>
    <t>Xác minh hệ thống cho phép đăng ký khi trường 'Nhập lại mật khẩu' khớp với mật khẩu đã nhập.</t>
  </si>
  <si>
    <t>1. Truy cập màn hình Đăng ký tài khoản.
2. Nhập Tên đăng nhập hợp lệ.
3. Nhập mật khẩu hợp lệ
4. Nhập lại mật khẩu giống như ở bước 3 vào trường 'Nhập lại mật khẩu'.
5. Nhấn Đăng ký.</t>
  </si>
  <si>
    <t>Hệ thống chấp nhận XNMK và tiếp tục quá trình</t>
  </si>
  <si>
    <t>Kiểm tra trường Nhập lại mật khẩu không khớp với mật khẩu đã nhập</t>
  </si>
  <si>
    <t>Xác minh hệ thống hiển thị thông báo lỗi khi trường 'Nhập lại mật khẩu' không khớp với mật khẩu đã nhập.</t>
  </si>
  <si>
    <t>1. Truy cập màn hình Đăng ký tài khoản.
2. Nhập Tên đăng nhập hợp lệ.
3. Nhập mật khẩu hợp lệ (ví dụ: Abc123!@#).
4. Nhập một mật khẩu khác với ở bước 3 vào trường 'Nhập lại mật khẩu' (ví dụ: Def456$%^).
5. Nhấn Đăng ký.</t>
  </si>
  <si>
    <t>User123685^</t>
  </si>
  <si>
    <t xml:space="preserve">Hệ thống hiển thị thông báo lỗi :"Mật khẩu không khớp"
</t>
  </si>
  <si>
    <t>Kiểm tra độ dài nhỏ hơn độ dài tối thiểu của mật khẩu</t>
  </si>
  <si>
    <t>Xác minh hệ thống hiển thị thông báo khi mật khẩu nhỏ hơn 8 ký tự.</t>
  </si>
  <si>
    <t>1. Truy cập màn hình Đăng ký tài khoản.
2. Nhập Tên đăng nhập hợp lệ.
3. Nhập mật khẩu có độ dài 7 ký tự
4. Nhấn Đăng ký.</t>
  </si>
  <si>
    <t>User87^</t>
  </si>
  <si>
    <t>Kiểm tra độ dài tối thiểu của mật khẩu, và trùng khớp với MK</t>
  </si>
  <si>
    <t>Xác minh hệ thống hiển thị thông báo khi mật khẩu = 8 ký tự.</t>
  </si>
  <si>
    <t>1. Truy cập màn hình Đăng ký tài khoản.
2. Nhập Tên đăng nhập hợp lệ.
3. Nhập mật khẩu có độ dài 8 ký tự 
4. Nhấn Đăng ký.</t>
  </si>
  <si>
    <t>User60^^</t>
  </si>
  <si>
    <t>Kiểm tra cảnh báo khi bỏ trống ô nhập lại mật khẩu</t>
  </si>
  <si>
    <t>Xác minh hệ thống hiển thị cảnh báo khi người dùng bỏ trống ô 'Nhập lại mật khẩu'.</t>
  </si>
  <si>
    <t>1. Truy cập màn hình Đăng ký tài khoản.
2. Nhập Tên đăng nhập hợp lệ.
3. Nhập mật khẩu vào ô 'Mật khẩu'.
4. Bỏ trống ô 'Nhập lại mật khẩu'.
5. Nhấn Đăng ký.</t>
  </si>
  <si>
    <t>Hệ thống hiển thị thông báolỗi 
'Vui lòng xác nhận mật khẩu'.</t>
  </si>
  <si>
    <t>Kiểm tra cảnh báo khi nhập chuỗi ký tự all space</t>
  </si>
  <si>
    <t>Xác minh hệ thống hiển thị cảnh báo khi người dùng nhập chuỗi ký tự all sapce</t>
  </si>
  <si>
    <t>1. Truy cập màn hình Đăng ký tài khoản.
2. Nhập Tên đăng nhập hợp lệ.
3. Nhập mật khẩu vào ô 'Mật khẩu'.
4. Nhập lại mật khẩu = Data Test
5. Nhấn Đăng ký.</t>
  </si>
  <si>
    <t>"                    "</t>
  </si>
  <si>
    <t xml:space="preserve">Hệ thống hiển thị thông báo lỗi :
"Mật khẩu không khớp"
</t>
  </si>
  <si>
    <t>Màn Cập nhật thông tin tài khoản</t>
  </si>
  <si>
    <t>Kiểm tra tiêu đề màn hình Hoàn thiện hồ sơ</t>
  </si>
  <si>
    <t>Xác minh rằng tiêu đề trên màn hình xác minh đăng ký hiển thị chính xác 'Cập nhật thông tin Hoàn thiện thông tin cá nhân của bạn'.</t>
  </si>
  <si>
    <t>Đã qua bước Tạo tài khoản
Người dùng đang ở trên màn hình Cập nhật thông tin</t>
  </si>
  <si>
    <t>1. Truy cập màn hình Xác minh đăng ký (sau khi đăng ký thành công).
2. Kiểm tra tiêu đề hiển thị trên màn hình.</t>
  </si>
  <si>
    <t>Tiêu đề hiển thị chính xác là ''Hoàn thiện hồ sơ"
- Text nội dung :" Hãy để chúng tôi giúp bạn tìm kiếm khách hàng bằng việc cung cấp thêm thông tin".</t>
  </si>
  <si>
    <t>Kiểm tra hiển thị màn
Hoàn thiện hồ sơ</t>
  </si>
  <si>
    <t>Kiểm tra giao diện chung MH Hoàn thiện hồ sơ</t>
  </si>
  <si>
    <t>1. Truy cập màn hình Xác minh đăng ký (sau khi Tạo tài khoản  thành công).
2. Kiểm tra  hiển thị giao diện chung trên màn hình.</t>
  </si>
  <si>
    <t>Hiển thị các trường:
 Họ và Tên * , Email*,
Số điện thoại, Mã giới thiệu,
nút Tiếp tục, , nút X</t>
  </si>
  <si>
    <t>Kiểm tra khi click vào textbox 'Họ và tên' trên màn hình xác minh</t>
  </si>
  <si>
    <t>Kiểm tra  chức năng của textbox 'Họ và tên' trên màn hình xác minh đăng ký.</t>
  </si>
  <si>
    <t>1. Truy cập màn hình Xác minh đăng ký.
2. Xác minh sự tồn tại của textbox 'Họ và tên'.
3. Nhập dữ liệu vào Textbox 'Họ và tên'.</t>
  </si>
  <si>
    <t>Textbox 'Họ và tên' hiển thị và cho phép người dùng nhập dữ liệu.</t>
  </si>
  <si>
    <t>Kiểm tra giới hạn ký tự đặc biệt trong Textbox 'Họ và tên'</t>
  </si>
  <si>
    <t>Kiểm tra rằng Textbox 'Họ và tên' không chấp nhận ký tự đặc biệt.</t>
  </si>
  <si>
    <t>1. Truy cập màn hình Xác minh đăng ký.
2. Nhập các ký tự đặc biệt vào Textbox 'Họ và tên'.
3. Nhấn submit.</t>
  </si>
  <si>
    <t>!@#$%^&amp;*</t>
  </si>
  <si>
    <t>Hệ thống thông báo lỗi
 "Vui lòng nhập đúng định dạng".</t>
  </si>
  <si>
    <t>Kiểm tra giới hạn ký tự chữ số trong Textbox 'Họ và tên'</t>
  </si>
  <si>
    <t>Kiểm tra rằng Textbox 'Họ và tên' không chấp nhận kýchữ số</t>
  </si>
  <si>
    <t>1. Truy cập màn hình Xác minh đăng ký.
2. Nhập các ký tự chữ số vào fillbox 'Họ và tên'.
3. Nhấn submit.</t>
  </si>
  <si>
    <t>Hệ thống không cho phép ký chữ số và hiển thị thông báo lỗi "Vui lòng nhập đúng định dạng".</t>
  </si>
  <si>
    <t>Kiểm tra fillbox 'Họ và tên' chỉ nhận chữ hoa và chữ thường</t>
  </si>
  <si>
    <t>Xác minh rằng fillbox 'Họ và tên' chỉ chấp nhận chữ hoa và chữ thường, không chấp nhận số và ký tự đặc biệt.</t>
  </si>
  <si>
    <t>1. Truy cập màn hình Xác minh đăng ký.
2. Nhập số vào fillbox 'Họ và tên'.
3. Quan sát kết quả.
4. Nhập ký tự đặc biệt vào fillbox 'Họ và tên'.
5. Quan sát kết quả.</t>
  </si>
  <si>
    <t>Vũ Thanh Thúyy
NGUYỄN VĂN BA
nguyen thi thanh</t>
  </si>
  <si>
    <t>Fillbox 'Họ và tên' chỉ chấp nhận chữ hoa và chữ thường</t>
  </si>
  <si>
    <t>Kiểm tra nhập textbox Họ và tên với độ dài &lt;70 ký tự</t>
  </si>
  <si>
    <t>Kiểm tra nhập textbox Họ và tên với độ dài &lt; minlength (&lt;70 ký tự)</t>
  </si>
  <si>
    <t>1. Truy cập màn hình Xác minh đăng ký.
2. Nhập data test trường 'Họ và tên'.
3. Quan sát kết quả.</t>
  </si>
  <si>
    <t>NTTT</t>
  </si>
  <si>
    <t>Hệ thống cho phép nhập dữ liệu &lt; 70 ký tự</t>
  </si>
  <si>
    <t>Kiểm tra nhập textbox Họ và tên với độ dài &lt; maxlength (= 69 ký tự)</t>
  </si>
  <si>
    <t>Kiểm tra nhập textbox Họ và tên với độ dài &lt; minlength (= 69 ký tự)</t>
  </si>
  <si>
    <t>Nguyenthiabcdefghijklmnopqrstuvwxyzabcdefghijklmnopqrstuvwxyzabcfjjee</t>
  </si>
  <si>
    <t>Kiểm tra nhập textbox Họ và tên với độ dài = maxlength (= 70 ký tự)</t>
  </si>
  <si>
    <t>Kiểm tra nhập textbox Họ và tên với độ dài = maxlength (=70 ký tự)</t>
  </si>
  <si>
    <t>1. Truy cập màn hình Đăng ký tài khoản.
2. Nhập Họ và Tên với đúng 70 ký tự.
3. Nhấn Đăng ký.</t>
  </si>
  <si>
    <t>Nguyenthiabcdefghijklmnopqrstuvwxyzabcdefghijklmnopqrstuvwxyzabcfjjeer</t>
  </si>
  <si>
    <t>Hệ thống chấp nhận Họ và Tên có độ dài 70 ký tự và tiếp tục quá trình đăng ký.</t>
  </si>
  <si>
    <t xml:space="preserve">Kiểm tra nhập textbox Họ và tên với độ dài &gt; maxlength </t>
  </si>
  <si>
    <t>Kiểm tra nhập textbox Họ và tên với độ dài &gt; maxlength (80 ký tự)</t>
  </si>
  <si>
    <t>1. Truy cập màn hình Đăng ký tài khoản.
2. Nhập Họ và Tên với đúng 80 ký tự.
3. Nhấn Đăng ký.</t>
  </si>
  <si>
    <t>Nguyenthiabcdefghijklmnopqrstuvwxyzabcdefghijklmnopqrstuvwxyzabcfjjfeadhvdfwwwwe</t>
  </si>
  <si>
    <t>Hệ thống hiển thị thông báo "Vui lòng không nhập quá 70 kí tự"</t>
  </si>
  <si>
    <t>Kiểm tra nhập textbox Họ và tên với độ dài &gt; maxlength ( 71 ký tự)</t>
  </si>
  <si>
    <t>Kiểm tra nhập textbox Họ và tên với độ dài &gt; maxlength (71 ký tự)</t>
  </si>
  <si>
    <t>1. Truy cập màn hình Đăng ký tài khoản.
2. Nhập Họ và Tên với đúng 71 ký tự.
3. Nhấn Đăng ký.</t>
  </si>
  <si>
    <t>Hệ thống không chấp nhận</t>
  </si>
  <si>
    <t>Kiểm tra nhập textbox Họ và tên với độ dài quá lớn</t>
  </si>
  <si>
    <t>1. Truy cập màn hình Đăng ký tài khoản.
2. Nhập Họ và Tên với đúng 1000 ký tự.
3. Nhấn Đăng ký.</t>
  </si>
  <si>
    <t>Kiểm tra Họ và tên - Trường hợp để trống</t>
  </si>
  <si>
    <t>Kiểm tra hệ thống hiển thị cảnh báo khi bỏ trống trường Họ và Tên.</t>
  </si>
  <si>
    <t>1. Truy cập màn hình Đăng ký tài khoản.
2. Bỏ trống trường Họ và Tên.
3. Nhấn Đăng ký.</t>
  </si>
  <si>
    <t>Hệ thống hiển thị cảnh báo 'Vui lòng điền Họ Tên'.</t>
  </si>
  <si>
    <t>Kiểm tra Họ và tên khi nhập full  chuỗi space</t>
  </si>
  <si>
    <t>1. Truy cập màn hình Đăng ký tài khoản.
2. Nhập trường Họ và Tên = Data Test
3. Nhấn Đăng ký.</t>
  </si>
  <si>
    <t>"               "</t>
  </si>
  <si>
    <t>Hệ thống tự động trim dữ liệu.
-  hiển thị cảnh báo 'Vui lòng điền Họ Tên'.</t>
  </si>
  <si>
    <t>Kiểm tra khi nhập data vào Textbox Họ và tên chứa ký tự chữ số</t>
  </si>
  <si>
    <t>1. Truy cập màn hình Đăng ký tài khoản.
2. Nhập Họ và Tên với data test
3. Nhấn Đăng ký.</t>
  </si>
  <si>
    <t>Nguyen Van A1235</t>
  </si>
  <si>
    <t>Hệ thống k cho phép.Hiển thị lỗi:
- Vui lòng nhập đúng định dạng</t>
  </si>
  <si>
    <t>Kiểm tra khi nhập data vào Textbox Họ và tên chứa ký tự đặc biệt</t>
  </si>
  <si>
    <t>Nguyen @Van A</t>
  </si>
  <si>
    <t>Kiểm tra khi nhập data vào Textbox Họ và tên chứa ký tự đặc biệt và chữ số</t>
  </si>
  <si>
    <t>Nguyen @Van A 123</t>
  </si>
  <si>
    <t xml:space="preserve">Hệ thống k cho phép.Hiển thị lỗi:
- Vui lòng nhập đúng định dạng </t>
  </si>
  <si>
    <t>Kiểm tra Họ và tên khi nhập dữ liệu hợp lệ có chứa dấu cách ở đầu cuối</t>
  </si>
  <si>
    <t>Kiểm tra Họ và tên khi nhập dữ liệu có chứa dấu cách ở đầu cuối</t>
  </si>
  <si>
    <t>" Trần Thị Huyền"
"Trần Văn B "
" Đặng Thị Minh Anh "</t>
  </si>
  <si>
    <t>Hệ thống tự động trim dữ liệu.
-  Hệ thống chấp nhận tên hợp lệ</t>
  </si>
  <si>
    <t>Kiểm tra Địa chỉ Email - Định dạng hợp lệ đúng định dạng</t>
  </si>
  <si>
    <t>Kiểm tra hệ thống chấp nhận địa chỉ email hợp lệ với đầy đủ chữ cái, chữ số, @ và .</t>
  </si>
  <si>
    <t>1. Truy cập màn hình Đăng ký tài khoản.
2. Nhập địa chỉ email hợp lệ
3. Nhấn Đăng ký.</t>
  </si>
  <si>
    <t>thaopham89@gmail.com</t>
  </si>
  <si>
    <t>Hệ thống chấp nhận địa chỉ email và tiếp tục quá trình đăng ký.</t>
  </si>
  <si>
    <t>Kiểm tra Địa chỉ Email - Không có ký tự @</t>
  </si>
  <si>
    <t>Kiểm tra hệ thống từ chối địa chỉ email không có ký tự @.</t>
  </si>
  <si>
    <t>1. Truy cập màn hình Đăng ký tài khoản.
2. Nhập địa chỉ email thiếu ký tự @
3. Nhấn Đăng ký.</t>
  </si>
  <si>
    <t>ngoclangmail.com</t>
  </si>
  <si>
    <t>Hệ thống hiển thị thông báo lỗi "Email không hợp lệ"</t>
  </si>
  <si>
    <t>Kiểm tra Địa chỉ Email - Không có ký tự .</t>
  </si>
  <si>
    <t>Kiểm tra hệ thống từ chối địa chỉ email không có ký tự . (chấm).</t>
  </si>
  <si>
    <t>1. Truy cập màn hình Đăng ký tài khoản.
2. Nhập địa chỉ email thiếu ký tự
3. Nhấn Đăng ký.</t>
  </si>
  <si>
    <t>testemail@examplecom</t>
  </si>
  <si>
    <t>Kiểm tra Địa chỉ Email - Email có khoảng trắng</t>
  </si>
  <si>
    <t>Kiểm tra hệ thống từ chối địa chỉ email có chứa khoảng trắng.</t>
  </si>
  <si>
    <t>1. Truy cập màn hình Đăng ký tài khoản.
2. Nhập địa chỉ email có chứa khoảng trắng
3. Nhấn Đăng ký.</t>
  </si>
  <si>
    <t>test email@example.com</t>
  </si>
  <si>
    <t>Kiểm tra Textbox email khi nhập email trùng với email đã tồn tại</t>
  </si>
  <si>
    <t>Kiểm tra hệ thống nhận diện email đã đăng ký</t>
  </si>
  <si>
    <t>Email đã được tạo trên hệ thống</t>
  </si>
  <si>
    <t>1. Truy cập màn hình Đăng ký tài khoản.
2. Nhập địa chỉ email đã dùng để đăng ký
3. Nhấn Đăng ký.</t>
  </si>
  <si>
    <t>thanhthuy@gmail.com</t>
  </si>
  <si>
    <t>Hệ thống báo email đã được sử dụng</t>
  </si>
  <si>
    <t>Kiểm tra Textbox email khi nhập  email thiếu tên miền</t>
  </si>
  <si>
    <t>Kiểm tra hệ thống từ chối địa chỉ email thiếu tên miền</t>
  </si>
  <si>
    <t>1. Truy cập màn hình Đăng ký tài khoản.
2. Nhập Textbox = Data Test
3. Nhấn Đăng ký.</t>
  </si>
  <si>
    <t>thanhthu@</t>
  </si>
  <si>
    <t>Kiểm tra Textbox email khi nhập  email thiếu username</t>
  </si>
  <si>
    <t>Kiểm tra hệ thống từ chối địa chỉ email thiếu username</t>
  </si>
  <si>
    <t>"@gmail.com"</t>
  </si>
  <si>
    <t>Kiểm tra Textbox email khi nhập email chứa
@ @</t>
  </si>
  <si>
    <t>Kiểm tra hệ thống từ chối địa chỉ email chứa
@ @</t>
  </si>
  <si>
    <t>ngoclan@@gmail.com</t>
  </si>
  <si>
    <t>Kiểm tra Textbox email khi nhập chuỗi all space</t>
  </si>
  <si>
    <t>Kiểm tra hệ thống từ chối địa chỉ email nhập chuỗi all space</t>
  </si>
  <si>
    <t>"                      "</t>
  </si>
  <si>
    <t>Kiểm tra Textbox email khi bỏ trống</t>
  </si>
  <si>
    <t>Xác minh hệ thống hiển thị cảnh báo khi người dùng bỏ trống trường địa chỉ email trên màn hình xác minh đăng ký.</t>
  </si>
  <si>
    <t>1. Truy cập màn hình xác minh đăng ký.
2. Bỏ trống trường địa chỉ email.
3. Nhấn vào nút tiếp tục hoặc thực hiện hành động để kích hoạt kiểm tra trường email.
4. Quan sát thông báo hiển thị.</t>
  </si>
  <si>
    <t>Hệ thống hiển thị cảnh báo 'Vui lòng điền email'.</t>
  </si>
  <si>
    <t>Kiểm tra Hoàn thiện hồ sơ thành công, TH:
- Nhập data hợp lệ và đủ các trường bắt buộc</t>
  </si>
  <si>
    <t>1. Truy cập màn hình xác minh đăng ký.
2. Nhập data hợp lệ trường Họ và tên và địa chỉ email.
3. Nhấn vào nút tiếp tục hoặc thực hiện hành động để kích hoạt kiểm tra trường email.
4. Quan sát thông báo hiển thị.</t>
  </si>
  <si>
    <t>Nguyễn Văn A
nguyenvana@gmail.com</t>
  </si>
  <si>
    <t>Hoàn thiện hồ sơ thành công.
Điều hướng sang màn  Nhập OTP</t>
  </si>
  <si>
    <t>Kiểm tra  Bỏ trống SĐT ( Trường không bắt buộc)</t>
  </si>
  <si>
    <t>Kiểm tra bỏ trống trường không bắt buộc</t>
  </si>
  <si>
    <t>Đang ở màn Hoàn thiện hồ sơ</t>
  </si>
  <si>
    <t>1. Để trống SĐT
2. Nhập các trường bắt buộc
3. Nhấn “Tiếp tục”</t>
  </si>
  <si>
    <t>Nguyễn Văn A
nguyenvana@gmail.com
Phone: Blank</t>
  </si>
  <si>
    <t>Hệ thống  cho phép bỏ trống trường SDT
- cho phép tiếp tục  thực hiện quy trình, điều hướng sang màn Nhập OTP</t>
  </si>
  <si>
    <t xml:space="preserve">Kiểm tra  khi nhập Textbox SĐT là chuỗi full chữ cái </t>
  </si>
  <si>
    <t xml:space="preserve">Kiểm tra hệ thống từ chối SDT là chuỗi full chữ cái </t>
  </si>
  <si>
    <t>1. Nhập các trường bắt buộc
2. Nhập trường SDT = Data Test
3.Nhấn “Tiếp tục”</t>
  </si>
  <si>
    <t>Khongchinsaumot</t>
  </si>
  <si>
    <t>Hệ thống show inline:
"Số điện thoại k hợp lệ"</t>
  </si>
  <si>
    <t>Kiểm tra  khi nhập Textbox SĐT là chuỗi full KTDB</t>
  </si>
  <si>
    <t>Kiểm tra hệ thống từ chối SDT là chuỗi full KTDB</t>
  </si>
  <si>
    <t>%$$$$$$$$$</t>
  </si>
  <si>
    <t>Kiểm tra  khi nhập Textbox SĐT là chuỗi chứa ký tự chữ cái</t>
  </si>
  <si>
    <t>09abc12345</t>
  </si>
  <si>
    <t>Kiểm tra  khi nhập Textbox SĐT là chuỗi chứa KTDB</t>
  </si>
  <si>
    <t>09^^12346</t>
  </si>
  <si>
    <t>Kiểm tra  khi nhập Textbox SĐT &lt; 10 chữ số</t>
  </si>
  <si>
    <t>"09534</t>
  </si>
  <si>
    <t xml:space="preserve">Kiểm tra  khi nhập Textbox SĐT = 9 chữ số </t>
  </si>
  <si>
    <t>Kiểm tra  khi nhập Textbox SĐT =  9 chữ số</t>
  </si>
  <si>
    <t>"096474564"</t>
  </si>
  <si>
    <t>Kiểm tra  khi nhập Textbox SĐT &gt; 10 chữ số</t>
  </si>
  <si>
    <t>"096474568577"</t>
  </si>
  <si>
    <t>Kiểm tra  khi nhập Textbox SĐT= 11 chữ số</t>
  </si>
  <si>
    <t>"096474568099"</t>
  </si>
  <si>
    <t>Kiểm tra  khi nhập Textbox SĐT với giá trị quá lớn</t>
  </si>
  <si>
    <t>Kiểm tra  khi nhập Textbox SĐT= 1000 chữ số</t>
  </si>
  <si>
    <t>"0964745680999999999999999999999999999999999999999999999999999999"</t>
  </si>
  <si>
    <t>Kiểm tra nhập data có dấu chấm "." trong SDT</t>
  </si>
  <si>
    <t>"0912.345678</t>
  </si>
  <si>
    <t>Kiểm tra nhập data chứa dấu cách ở giữa SĐT</t>
  </si>
  <si>
    <t>"0912 345678</t>
  </si>
  <si>
    <t>Kiểm tra nhập data chứa dấu cách ở đầu/ cuối SĐT</t>
  </si>
  <si>
    <t>Kiểm tra nhập data chứa dấu cách ở đầu SĐT</t>
  </si>
  <si>
    <t>" 0912345679"
"0912345678 "
" 0912345678 "</t>
  </si>
  <si>
    <t>Hệ thống không tự trim để hợp lệ; phải chặn nhập hoặc hiển thị lỗi định dạng SĐT</t>
  </si>
  <si>
    <t>Copy/Paste SĐT hợp lệ
chứa dấu cách</t>
  </si>
  <si>
    <t>" 0912345678"
"0912345678 "
" 0912345678 "</t>
  </si>
  <si>
    <t>Kiểm tra nhập số điện thoại  bắt đầu != 0</t>
  </si>
  <si>
    <t>Xác minh hệ thống không cho phép người dùng nhập số điện thoại không bắt đầu bằng 0 vào trường số điện thoại trên màn hình xác minh đăng ký.</t>
  </si>
  <si>
    <t>1. Truy cập màn hình xác minh đăng ký.
2. Nhập số điện thoại có 10 chữ số nhưng không bắt đầu bằng 0.
3. Quan sát giá trị nhập vào trường số điện thoại.</t>
  </si>
  <si>
    <t>Hệ thống không cho phép nhập số điện thoại không bắt đầu bằng 0.</t>
  </si>
  <si>
    <t>Kiểm tra nhập Textbox SDT, TH:
- độ dài = 10 chữ số
- Bắt đầu = 00</t>
  </si>
  <si>
    <t xml:space="preserve">Kiểm tra xem hệ thống từ chối số điện thoại không hợp lệ </t>
  </si>
  <si>
    <t>"0045768956</t>
  </si>
  <si>
    <t>Hệ thống hiển thị thông báo lỗi cho biết số điện thoại không hợp lệ.</t>
  </si>
  <si>
    <t>Kiểm tra nhập Textbox SDT, TH:
- độ dài = 10 chữ số
- Bắt đầu = 01</t>
  </si>
  <si>
    <t>"0145768957</t>
  </si>
  <si>
    <t>Kiểm tra nhập Textbox SDT, TH:
- độ dài = 10 chữ số
- Bắt đầu = 02</t>
  </si>
  <si>
    <t>"0245768958</t>
  </si>
  <si>
    <t>Kiểm tra nhập Textbox SDT, TH:
- độ dài = 10 chữ số
- Bắt đầu = 04</t>
  </si>
  <si>
    <t>"0445768959</t>
  </si>
  <si>
    <t>Kiểm tra nhập Textbox SDT, TH:
- độ dài = 10 chữ số
- Bắt đầu = 06</t>
  </si>
  <si>
    <t>"0645768960</t>
  </si>
  <si>
    <t>Kiểm tra nhập Textbox SDT, TH:
- độ dài = 10 chữ số
- Bắt đầu = 03</t>
  </si>
  <si>
    <t xml:space="preserve">Kiểm tra xem hệ thống chấp nhận số điện thoại  hợp lệ </t>
  </si>
  <si>
    <t>Hệ thống chấp nhận SDT hợp lệ
- Điều hướng sang MH nhập OTP</t>
  </si>
  <si>
    <t>Kiểm tra nhập Textbox SDT, TH:
- độ dài = 10 chữ số
- Bắt đầu = 05</t>
  </si>
  <si>
    <t>Kiểm tra nhập Textbox SDT, TH:
- độ dài = 10 chữ số
- Bắt đầu = 07</t>
  </si>
  <si>
    <t>Kiểm tra nhập Textbox SDT, TH:
- độ dài = 10 chữ số
- Bắt đầu = 08</t>
  </si>
  <si>
    <t>Kiểm tra nhập Textbox SDT, TH:
- độ dài = 10 chữ số
- Bắt đầu = 09</t>
  </si>
  <si>
    <t>Kiểm tra Coppy/paste + Nhập SĐT có mã quốc gia +84</t>
  </si>
  <si>
    <t>1. Nhập các trường bắt buộc
2. Nhập trường SDT = Data Test hợp lệ
3.Nhấn “Tiếp tục”
4. Refresh trang
5. Quan sát</t>
  </si>
  <si>
    <t>+84912345678</t>
  </si>
  <si>
    <t>Hiển thị lỗi “Số điện thoại không đúng định dạng”</t>
  </si>
  <si>
    <t>Kiểm tra Coppy/paste + Nhập  SĐT dạng có ngoặc mã vùng</t>
  </si>
  <si>
    <t>"(091)2345678</t>
  </si>
  <si>
    <t xml:space="preserve">Kiểm tra bỏ trống Mã giới thiệu </t>
  </si>
  <si>
    <t>Kiểm tra hệ thống chấp nhận bỏ trống mã giới thiệu</t>
  </si>
  <si>
    <t>1. Truy cập màn hình Đăng ký tài khoản.
2. Nhập thông tin đăng ký hợp lệ.
3. Không nhập mã giới thiệu hợp lệ vào Textbox.
4. Nhấn nút Đăng ký.</t>
  </si>
  <si>
    <t>refCode: blank</t>
  </si>
  <si>
    <t>Hệ thống cho phép bỏ trống
- Tiếp tục hành trình</t>
  </si>
  <si>
    <t>Kiểm tra Mã giới thiệu - Nhập mã giới thiệu hợp lệ</t>
  </si>
  <si>
    <t>Kiểm tra việc nhập mã giới thiệu hợp lệ vào fillbox.</t>
  </si>
  <si>
    <t>1. Truy cập màn hình Đăng ký tài khoản.
2. Nhập thông tin đăng ký hợp lệ.
3. Nhập mã giới thiệu hợp lệ vào fillbox.
4. Nhấn nút Đăng ký.</t>
  </si>
  <si>
    <t>Hệ thống chấp nhận mã giới thiệu và tiếp tục quá trình đăng ký.</t>
  </si>
  <si>
    <t>Kiểm tra Mã giới thiệu - Nhập mã giới thiệu không tồn tại</t>
  </si>
  <si>
    <t>Kiểm tra việc hệ thống kiểm tra mã giới thiệu có tồn tại trong hệ thống hay không.</t>
  </si>
  <si>
    <t>1. Truy cập màn hình Đăng ký tài khoản.
2. Nhập thông tin đăng ký hợp lệ.
3. Nhập mã giới thiệu không tồn tại vào fillbox.
4. Nhấn nút Đăng ký.</t>
  </si>
  <si>
    <t>INVALID999</t>
  </si>
  <si>
    <t>Hệ thống hiển thị thông báo lỗi "Mã giới thiệu không tồn tại. Vui lòng kiểm tra lại mã giới thiệu hoặc liên hệ hỗ trợ."</t>
  </si>
  <si>
    <t>Kiểm tra Mã giới thiệu - Nhập mã giới thiệu không hợp lệ (ký tự đặc biệt)</t>
  </si>
  <si>
    <t>Kiểm tra việc hệ thống từ chối mã giới thiệu chứa ký tự đặc biệt.</t>
  </si>
  <si>
    <t>1. Truy cập màn hình Đăng ký tài khoản.
2. Nhập thông tin đăng ký hợp lệ.
3. Nhập mã giới thiệu chứa ký tự đặc biệt vào fillbox.
4. Nhấn nút Đăng ký.</t>
  </si>
  <si>
    <t>Hệ thống hiển thị thông báo lỗi yêu cầu mã giới thiệu chỉ chứa chữ và số.</t>
  </si>
  <si>
    <t>Kiểm tra Mã giới thiệu - Nhập mã giới thiệu dài hơn 9 ký tự</t>
  </si>
  <si>
    <t>Kiểm tra giới hạn ký tự tối đa của mã giới thiệu.</t>
  </si>
  <si>
    <t>1. Truy cập màn hình Đăng ký tài khoản.
2. Nhập thông tin đăng ký hợp lệ.
3. Nhập mã giới thiệu dài hơn 10 ký tự vào fillbox.
4. Nhấn nút Đăng ký.</t>
  </si>
  <si>
    <t>Hệ thống chặn hơn 09 ký tự</t>
  </si>
  <si>
    <t>Auto fill điền Mã giới thiệu khi mà gửi link bằng REF</t>
  </si>
  <si>
    <t>1. Truy cập hệ thống bằng link REF
2. Nhập thông tin đăng ký hợp lệ.
3. Hệ thống tự auto fill mã giới thiệu vào fillbox.
4. Nhấn nút Đăng ký.</t>
  </si>
  <si>
    <t>Màn Xác thực OTP</t>
  </si>
  <si>
    <t>Kiểm tra giao diện màn hình xác thực OTP</t>
  </si>
  <si>
    <t>Kiểm tra bố cục màn xác minh</t>
  </si>
  <si>
    <t>Người dùng đã cập nhật thông tin thành công</t>
  </si>
  <si>
    <t>1. Truy cập màn hình Xác thực OTP.
2. Quan sát màn xác minh email</t>
  </si>
  <si>
    <t>Màn hình xác minh email hiển thị đầy đủ và chính xác các thành phần giao diện trên PC</t>
  </si>
  <si>
    <t>Kiểm tra chấp nhận mã xác minh chỉ chứa chữ số</t>
  </si>
  <si>
    <t>Kiểm tra hệ thống chỉ chấp nhận mã xác minh là chữ số.</t>
  </si>
  <si>
    <t>1. Truy cập màn hình Xác minh email.
2. Nhập mã xác minh chứa ký tự chữ cái hoặc ký tự đặc biệt/ all sapce
3. Nhấn nút 'Xác minh'.</t>
  </si>
  <si>
    <t>ABCJDE
!!!!!!!!!@</t>
  </si>
  <si>
    <t>Hệ thống chặn, k cho phép nhập ký tự ngoài ký tự số</t>
  </si>
  <si>
    <t>Kiểm tra cảnh báo khi không nhập mã xác minh</t>
  </si>
  <si>
    <t>Xác minh hệ thống hiển thị cảnh báo khi người dùng cố gắng xác minh mà không nhập mã.</t>
  </si>
  <si>
    <t>1. Truy cập màn hình Xác minh email.
2. Để trống ô nhập mã xác minh.
3. Nhấn nút 'Xác minh'.</t>
  </si>
  <si>
    <t>Nút Tiếp tục :Disable</t>
  </si>
  <si>
    <t>Kiểm tra khi không nhập đủ 6 số vào box</t>
  </si>
  <si>
    <t>Kiểm tra nhập mã OTP còn thời hạn nhưng của email khác</t>
  </si>
  <si>
    <t>Hiển thị thông báo "Mã kích hoạt không chính xác"</t>
  </si>
  <si>
    <t>Kiểm tra khi nhập mã OTP sai</t>
  </si>
  <si>
    <t>Xác minh hệ thống xử lý đúng khi người dùng nhập sai mã xác minh.</t>
  </si>
  <si>
    <t>1. Truy cập màn hình Xác minh email.
2. Nhập một mã xác minh không đúng.
3. Nhấn nút 'Tiếp tục'.</t>
  </si>
  <si>
    <t xml:space="preserve">Hiển thị "Mã kích hoạt không hợp lệ". Tăng bộ đếm thất bại </t>
  </si>
  <si>
    <t>Chưa</t>
  </si>
  <si>
    <t>Kiểm tra khi nhập mã OTP hợp lệ  tại  phút 15</t>
  </si>
  <si>
    <t>1. Truy cập màn hình Xác minh email.
2. Yêu cầu gửi mã xác minh.
3. Đúng phút 15.
4. Nhập mã xác minh đã nhận.
5. Nhấn nút 'Tiếp tục'.</t>
  </si>
  <si>
    <t>Điều hướng sang MH chọn Role</t>
  </si>
  <si>
    <t>Kiểm tra hiệu lực của mã xác minh sau 15 phút</t>
  </si>
  <si>
    <t>Xác nhận mã xác minh chỉ có hiệu lực trong vòng 15 phút.</t>
  </si>
  <si>
    <t>1. Truy cập màn hình Xác minh email.
2. Yêu cầu gửi mã xác minh.
3. Chờ 16 phút.
4. Nhập mã xác minh đã nhận.
5. Nhấn nút 'Tiếp tục'.</t>
  </si>
  <si>
    <t xml:space="preserve">Hệ thống hiển thị thông báo lỗi 'Mã kích hoạt không chính xác' </t>
  </si>
  <si>
    <t>ass</t>
  </si>
  <si>
    <t>Kiểm tra gửi lại mã xác minh</t>
  </si>
  <si>
    <t>Xác minh chức năng gửi lại mã xác minh hoạt động chính xác.</t>
  </si>
  <si>
    <t>1. Truy cập màn hình Xác thực OTP
2. Nhấn nút 'Gửi lại mã '.
3. Kiểm tra email.</t>
  </si>
  <si>
    <t>Một email mới chứa mã xác minh mới được gửi đến địa chỉ email đã đăng ký.</t>
  </si>
  <si>
    <t>Vô hiệu hóa mã kích hoạt cũ khi nhận mã kích hoạt mới</t>
  </si>
  <si>
    <t>Kiểm tra mã kích hoạt cũ bị vô hiệu hóa khi người dùng yêu cầu nhận mã kích hoạt mới trong quá trình xác minh email.</t>
  </si>
  <si>
    <t>1. Truy cập màn hình xác minh email sau khi đăng ký.
2. Nhập mã kích hoạt đã được gửi trước đó (mã cũ).
3. Yêu cầu nhận mã kích hoạt mới.
4. Nhập lại mã kích hoạt cũ.
5. Nhấn Xác nhận.</t>
  </si>
  <si>
    <t>Hệ thống thông báo mã kích hoạt không hợp lệ hoặc đã hết hạn.</t>
  </si>
  <si>
    <t>Kiểm tra thời gian chờ 60 giây trước khi gửi lại mã kích hoạt</t>
  </si>
  <si>
    <t>Xác minh người dùng phải đợi ít nhất 60 giây trước khi có thể yêu cầu gửi lại mã kích hoạt email.</t>
  </si>
  <si>
    <t>1. Truy cập màn hình xác minh email.
2. Yêu cầu gửi mã kích hoạt.
3. Chờ 59 giây.
4. Yêu cầu gửi lại mã kích hoạt.
5. Chờ thêm 1 giây.
6. Yêu cầu gửi lại mã kích hoạt.</t>
  </si>
  <si>
    <t xml:space="preserve">Trong vòng 60 giây đầu tiên, hệ thống hiển thị thông báo yêu cầu chờ trước khi gửi lại mã. Sau 60 giây, hệ thống cho phép gửi lại mã.
Nút bị disable, hiển thị thời gian còn lại </t>
  </si>
  <si>
    <t>Kích hoạt tài khoản thành công khi nhập đúng mã xác minh</t>
  </si>
  <si>
    <t>Kiểm tra tài khoản được kích hoạt thành công và chuyển hướng đến màn hình đăng nhập khi người dùng nhập đúng mã xác minh.</t>
  </si>
  <si>
    <t>1. Truy cập màn hình xác minh email.
2. Nhập đúng mã xác minh đã được gửi đến email.
3. Nhấn nút 'Xác nhận'.</t>
  </si>
  <si>
    <t>Hệ thống hiển thị thông báo 'Kích hoạt tài khoản thành công' và tự động chuyển hướng đến màn hình ChọnRole</t>
  </si>
  <si>
    <t>Thử lại sau 60s khi nhấn liên tục nút 'Nhận lại mã'</t>
  </si>
  <si>
    <t>Kiểm tra hệ thống chặn việc nhấn liên tục nút 'Nhận lại mã' trước khi hết thời gian chờ.</t>
  </si>
  <si>
    <t>1. Truy cập màn hình xác minh email.
2. Nhấn nút 'Nhận lại mã'.
3. Nhấn liên tục nút 'Nhận lại mã' trong vòng 60 giây.</t>
  </si>
  <si>
    <t>Hệ thống gửi OTP mới, reset đếm ngược</t>
  </si>
  <si>
    <t>Kiểm tra OTP sau khi xác thực không được tái sử dụng</t>
  </si>
  <si>
    <t>OTP đã dùng</t>
  </si>
  <si>
    <t>Nhập lại OTP cũ</t>
  </si>
  <si>
    <t>Hiển thị OTP không hợp lệ</t>
  </si>
  <si>
    <r>
      <t xml:space="preserve">Chức năng
</t>
    </r>
    <r>
      <rPr>
        <i/>
        <sz val="9"/>
        <rFont val="Times New Roman"/>
        <family val="1"/>
      </rPr>
      <t>&lt;&lt;Liệt kê các chức năng cần kiểm thử&gt;&gt;</t>
    </r>
  </si>
  <si>
    <r>
      <t xml:space="preserve">Mô tả
</t>
    </r>
    <r>
      <rPr>
        <i/>
        <sz val="9"/>
        <rFont val="Times New Roman"/>
        <family val="1"/>
      </rPr>
      <t>&lt;&lt; Mô tả test case đáp ứng có kịch bản &gt;&gt;</t>
    </r>
  </si>
  <si>
    <r>
      <t xml:space="preserve">Điều kiện tiên quyết
</t>
    </r>
    <r>
      <rPr>
        <sz val="9"/>
        <rFont val="Times New Roman"/>
        <family val="1"/>
      </rPr>
      <t>&lt;&lt; Mô tả điều kiện cần đáp ứng &gt;&gt;</t>
    </r>
  </si>
  <si>
    <r>
      <t xml:space="preserve">Các bước thực hiện
</t>
    </r>
    <r>
      <rPr>
        <i/>
        <sz val="9"/>
        <rFont val="Times New Roman"/>
        <family val="1"/>
      </rPr>
      <t>&lt;&lt; Mô tả test case đáp ứng có kịch bản &gt;&gt;</t>
    </r>
  </si>
  <si>
    <r>
      <t xml:space="preserve">Dữ liệu test
</t>
    </r>
    <r>
      <rPr>
        <i/>
        <sz val="9"/>
        <rFont val="Times New Roman"/>
        <family val="1"/>
      </rPr>
      <t>&lt;&lt;Dữ liệu cần để thực hiện kịch bản&gt;&gt;</t>
    </r>
  </si>
  <si>
    <r>
      <t xml:space="preserve">Kết quả mong muốn
</t>
    </r>
    <r>
      <rPr>
        <i/>
        <sz val="9"/>
        <rFont val="Times New Roman"/>
        <family val="1"/>
      </rPr>
      <t>&lt;&lt; Mô tả kết quả mong muốn &gt;&gt;</t>
    </r>
  </si>
  <si>
    <r>
      <t xml:space="preserve">Kết quả
</t>
    </r>
    <r>
      <rPr>
        <i/>
        <sz val="9"/>
        <rFont val="Times New Roman"/>
        <family val="1"/>
      </rPr>
      <t>&lt;&lt;Trạng thái Test&gt;&gt;</t>
    </r>
  </si>
  <si>
    <r>
      <t xml:space="preserve">Ghi chú
</t>
    </r>
    <r>
      <rPr>
        <i/>
        <sz val="9"/>
        <color theme="1"/>
        <rFont val="Times New Roman"/>
        <family val="1"/>
      </rPr>
      <t>&lt;&lt; Bằng chứng lỗi, mã lỗi &gt;&gt;</t>
    </r>
  </si>
  <si>
    <t>Kiểm tra hiển thị màn hình đăng nhập trên PC (1920x1080)</t>
  </si>
  <si>
    <t>Xác minh giao diện đăng nhập hiển thị chính xác và đầy đủ trên trình duyệt web trên PC với độ phân giải 1920x1080.</t>
  </si>
  <si>
    <t>1. Mở trình duyệt web trên PC với độ phân giải màn hình 1920x1080.
2. Truy cập URL của trang đăng nhập.
3. Kiểm tra hiển thị của các thành phần: logo, trường tên đăng nhập, trường mật khẩu, nút đăng nhập, liên kết 'Quên mật khẩu', liên kết 'Đăng ký'.
4. Kiểm tra kích thước và vị trí của các thành phần có phù hợp với thiết kế không.</t>
  </si>
  <si>
    <t>Màn hình đăng nhập hiển thị đầy đủ và chính xác các thành phần, bố cục phù hợp với thiết kế trên PC (1920x1080).</t>
  </si>
  <si>
    <t>Kiểm tra thông báo lỗi khi đăng nhập sai</t>
  </si>
  <si>
    <t>Xác minh hệ thống hiển thị thông báo lỗi chính xác khi người dùng nhập sai tên đăng nhập hoặc mật khẩu.</t>
  </si>
  <si>
    <t>1. Truy cập màn hình đăng nhập.
2. Nhập tên đăng nhập đúng.
3. Nhập mật khẩu sai.
4. Nhấn nút 'Đăng nhập'.
5. Kiểm tra thông báo lỗi hiển thị.
6. Lặp lại các bước trên với tên đăng nhập sai và mật khẩu đúng.</t>
  </si>
  <si>
    <t>Hệ thống hiển thị thông báo lỗi rõ ràng và chính xác, ví dụ: 'Sai tên đăng nhập hoặc mật khẩu'.</t>
  </si>
  <si>
    <t>Fail</t>
  </si>
  <si>
    <t>Kiểm tra chức năng 'Quên mật khẩu'</t>
  </si>
  <si>
    <t>Xác minh chức năng 'Quên mật khẩu' hoạt động chính xác và cho phép người dùng đặt lại mật khẩu.</t>
  </si>
  <si>
    <t>1. Truy cập màn hình đăng nhập.
2. Nhấn vào liên kết 'Quên mật khẩu'.
3. Nhập tên đăng nhập hoặc địa chỉ email đã đăng ký.
4. Kiểm tra email để tìm hướng dẫn đặt lại mật khẩu.
5. Làm theo hướng dẫn trong email để đặt lại mật khẩu.
6. Đăng nhập bằng mật khẩu mới.</t>
  </si>
  <si>
    <t>Người dùng nhận được email hướng dẫn đặt lại mật khẩu và có thể đăng nhập thành công bằng mật khẩu mới.</t>
  </si>
  <si>
    <t>Kiểm tra hiển thị màn hình đăng nhập trên PC (1440 x 769)</t>
  </si>
  <si>
    <t>Xác minh giao diện đăng nhập hiển thị chính xác và không có lỗi trên màn hình PC với độ phân giải 1440 x 769.</t>
  </si>
  <si>
    <t>1. Mở trình duyệt trên PC với độ phân giải màn hình 1440 x 769.
2. Truy cập trang đăng nhập.
3. Kiểm tra bố cục tổng thể, vị trí các thành phần (textboxes, buttons, labels).
4. Kiểm tra tính dễ đọc của văn bản và kích thước các phần tử.</t>
  </si>
  <si>
    <t>Giao diện đăng nhập hiển thị đầy đủ và chính xác, không có lỗi hiển thị (ví dụ: tràn, chồng chéo, mất chữ). Các thành phần giao diện đáp ứng kích thước và dễ đọc.</t>
  </si>
  <si>
    <t>Kiểm tra hiển thị màn hình đăng nhập trên PC (1280 x 720)</t>
  </si>
  <si>
    <t>Xác minh giao diện đăng nhập hiển thị chính xác và không có lỗi trên màn hình PC với độ phân giải 1280 x 720.</t>
  </si>
  <si>
    <t>1. Mở trình duyệt trên PC với độ phân giải màn hình 1280 x 720.
2. Truy cập trang đăng nhập.
3. Kiểm tra bố cục tổng thể, vị trí các thành phần (textboxes, buttons, labels).
4. Kiểm tra tính dễ đọc của văn bản và kích thước các phần tử.</t>
  </si>
  <si>
    <t>Kiểm tra hiển thị màn hình đăng nhập trên Tablet</t>
  </si>
  <si>
    <t>Xác minh giao diện đăng nhập hiển thị chính xác và không có lỗi trên màn hình Tablet.</t>
  </si>
  <si>
    <t>1. Mở trình duyệt trên Tablet.
2. Truy cập trang đăng nhập.
3. Kiểm tra bố cục tổng thể, vị trí các thành phần (textboxes, buttons, labels).
4. Kiểm tra tính dễ đọc của văn bản và kích thước các phần tử.
5. Kiểm tra khả năng tương tác bằng cảm ứng.</t>
  </si>
  <si>
    <t>Giao diện đăng nhập hiển thị đầy đủ và chính xác, không có lỗi hiển thị (ví dụ: tràn, chồng chéo, mất chữ). Các thành phần giao diện đáp ứng kích thước và dễ đọc. Các thành phần tương tác tốt với thao tác cảm ứng.</t>
  </si>
  <si>
    <t>Kiểm tra nhập Tên đăng nhập hợp lệ</t>
  </si>
  <si>
    <t>Kiểm tra người dùng có thể nhập tên đăng nhập hợp lệ vào ô Tên đăng nhập.</t>
  </si>
  <si>
    <t>1. Truy cập trang đăng nhập.
2. Nhập một tên đăng nhập hợp lệ (ví dụ: user123).</t>
  </si>
  <si>
    <t>Người dùng có thể nhập tên đăng nhập hợp lệ vào ô Tên đăng nhập.</t>
  </si>
  <si>
    <t>Kiểm tra Tên đăng nhập với ký tự đặc biệt</t>
  </si>
  <si>
    <t>Kiểm tra hệ thống xử lý đúng các ký tự đặc biệt trong trường Tên đăng nhập.</t>
  </si>
  <si>
    <t>1. Truy cập trang đăng nhập.
2. Nhập Tên đăng nhập có chứa ký tự đặc biệt như @, #, $, %, ^, &amp;amp;, *.
3. Kiểm tra xem các ký tự được hiển thị đúng và hệ thống không báo lỗi.</t>
  </si>
  <si>
    <t>Hệ thống cho phép nhập các ký tự đặc biệt và hiển thị chúng một cách chính xác trong trường Tên đăng nhập, hoặc hiển thị thông báo lỗi nếu ký tự không được phép.</t>
  </si>
  <si>
    <t>Kiểm tra định dạng Tên đăng nhập</t>
  </si>
  <si>
    <t>Kiểm tra hệ thống hiển thị cảnh báo khi người dùng nhập sai định dạng Tên đăng nhập.</t>
  </si>
  <si>
    <t>1. Truy cập màn hình Đăng nhập.
2. Nhập Tên đăng nhập không đúng định dạng (ví dụ: thiếu ký tự @, có khoảng trắng).
3. Quan sát thông báo lỗi.</t>
  </si>
  <si>
    <t>Hệ thống hiển thị cảnh báo 'Vui lòng nhập đúng định dạng'.</t>
  </si>
  <si>
    <t>Kiểm tra Tên đăng nhập rỗng</t>
  </si>
  <si>
    <t>Kiểm tra hệ thống hiển thị cảnh báo khi người dùng để trống Tên đăng nhập.</t>
  </si>
  <si>
    <t>1. Truy cập màn hình Đăng nhập.
2. Bỏ trống trường Tên đăng nhập.
3. Nhập Mật khẩu hợp lệ.
4. Nhấn Đăng nhập.
5. Quan sát thông báo lỗi.</t>
  </si>
  <si>
    <t>Hệ thống hiển thị cảnh báo 'Vui lòng điền tên đăng nhập'.</t>
  </si>
  <si>
    <t>Kiểm tra Tên đăng nhập có khoảng trống đầu và cuối</t>
  </si>
  <si>
    <t>Kiểm tra hệ thống xử lý trim khoảng trống đầu và cuối</t>
  </si>
  <si>
    <t>1. Truy cập màn hình Đăng nhập.
2. Điền Tên đăng nhập có khoảng trống đầu và cuối.
3. Nhập Mật khẩu hợp lệ.
4. Nhấn Đăng nhập.
5. Quan sát thông báo lỗi.</t>
  </si>
  <si>
    <t>Hệ thống show inline</t>
  </si>
  <si>
    <t>Kiểm tra Mật khẩu hiển thị masking</t>
  </si>
  <si>
    <t>Kiểm tra Mật khẩu được che (masking) khi nhập.</t>
  </si>
  <si>
    <t>1. Truy cập màn hình Đăng nhập.
2. Nhập Tên đăng nhập hợp lệ.
3. Nhập Mật khẩu.
4. Quan sát hiển thị Mật khẩu.</t>
  </si>
  <si>
    <t>Mật khẩu được che bằng các ký tự đặc biệt (ví dụ: *) để bảo mật.</t>
  </si>
  <si>
    <t>Kiểm tra chức năng Toggle masking Mật khẩu</t>
  </si>
  <si>
    <t>Kiểm tra chức năng hiển thị/ẩn Mật khẩu khi nhấn vào icon con mắt.</t>
  </si>
  <si>
    <t>1. Truy cập màn hình Đăng nhập.
2. Nhập Tên đăng nhập hợp lệ.
3. Nhập Mật khẩu.
4. Nhấn vào icon con mắt.
5. Quan sát hiển thị Mật khẩu.
6. Nhấn lại vào icon con mắt.
7. Quan sát hiển thị Mật khẩu.</t>
  </si>
  <si>
    <t>Khi nhấn icon con mắt, Mật khẩu hiển thị rõ ràng. Khi nhấn lại, Mật khẩu được che (masking).</t>
  </si>
  <si>
    <t>Kiểm tra Tên đăng nhập là số điện thoại</t>
  </si>
  <si>
    <t>Kiểm tra hệ thống cho phép đăng nhập bằng số điện thoại hoặc không</t>
  </si>
  <si>
    <t>1. Truy cập màn hình Đăng nhập.
2. Nhập Tên đăng nhập là số điện thoại đã đăng ký.
3. Nhập Mật khẩu hợp lệ.
4. Nhấn Đăng nhập.</t>
  </si>
  <si>
    <t>Hệ thống cho phép đăng nhập nếu số điện thoại được chấp nhận như tên đăng nhập</t>
  </si>
  <si>
    <t>Kiểm tra mật khẩu không đủ 8 ký tự khi đăng nhập</t>
  </si>
  <si>
    <t>Xác minh hệ thống từ chối mật khẩu ngắn hơn 8 ký tự khi đăng nhập.</t>
  </si>
  <si>
    <t>1. Truy cập màn hình đăng nhập.
2. Nhập tên đăng nhập hợp lệ.
3. Nhập mật khẩu có ít hơn 8 ký tự.
4. Nhấn nút đăng nhập.</t>
  </si>
  <si>
    <t>Hệ thống hiển thị thông báo lỗi yêu cầu mật khẩu phải có ít nhất 8 ký tự.</t>
  </si>
  <si>
    <t>Kiểm tra mật khẩu thiếu chữ hoa khi đăng nhập</t>
  </si>
  <si>
    <t>Xác minh hệ thống từ chối mật khẩu không có chữ hoa khi đăng nhập.</t>
  </si>
  <si>
    <t>1. Truy cập màn hình đăng nhập.
2. Nhập tên đăng nhập hợp lệ.
3. Nhập mật khẩu hợp lệ về độ dài nhưng không chứa chữ hoa.
4. Nhấn nút đăng nhập.</t>
  </si>
  <si>
    <t>Hệ thống hiển thị thông báo lỗi yêu cầu mật khẩu phải chứa ít nhất một chữ hoa.</t>
  </si>
  <si>
    <t>Kiểm tra mật khẩu thiếu chữ thường khi đăng nhập</t>
  </si>
  <si>
    <t>Xác minh hệ thống từ chối mật khẩu không có chữ thường khi đăng nhập.</t>
  </si>
  <si>
    <t>1. Truy cập màn hình đăng nhập.
2. Nhập tên đăng nhập hợp lệ.
3. Nhập mật khẩu hợp lệ về độ dài nhưng không chứa chữ thường.
4. Nhấn nút đăng nhập.</t>
  </si>
  <si>
    <t>Hệ thống hiển thị thông báo lỗi yêu cầu mật khẩu phải chứa ít nhất một chữ thường.</t>
  </si>
  <si>
    <t>Kiểm tra mật khẩu thiếu chữ số khi đăng nhập</t>
  </si>
  <si>
    <t>Xác minh hệ thống từ chối mật khẩu không có chữ số khi đăng nhập.</t>
  </si>
  <si>
    <t>1. Truy cập màn hình đăng nhập.
2. Nhập tên đăng nhập hợp lệ.
3. Nhập mật khẩu hợp lệ về độ dài nhưng không chứa chữ số.
4. Nhấn nút đăng nhập.</t>
  </si>
  <si>
    <t>Hệ thống hiển thị thông báo lỗi yêu cầu mật khẩu phải chứa ít nhất một chữ số.</t>
  </si>
  <si>
    <t>Kiểm tra mật khẩu thiếu ký tự đặc biệt khi đăng nhập</t>
  </si>
  <si>
    <t>Xác minh hệ thống từ chối mật khẩu không có ký tự đặc biệt khi đăng nhập.</t>
  </si>
  <si>
    <t>1. Truy cập màn hình đăng nhập.
2. Nhập tên đăng nhập hợp lệ.
3. Nhập mật khẩu hợp lệ về độ dài nhưng không chứa ký tự đặc biệt.
4. Nhấn nút đăng nhập.</t>
  </si>
  <si>
    <t>Hệ thống hiển thị thông báo lỗi yêu cầu mật khẩu phải chứa ít nhất một ký tự đặc biệt.</t>
  </si>
  <si>
    <t>Kiểm tra mật khẩu hợp lệ khi đăng nhập</t>
  </si>
  <si>
    <t>Xác minh hệ thống cho phép đăng nhập khi mật khẩu đáp ứng tất cả các yêu cầu.</t>
  </si>
  <si>
    <t>1. Truy cập màn hình đăng nhập.
2. Nhập tên đăng nhập hợp lệ.
3. Nhập mật khẩu hợp lệ (đủ 8 ký tự, có chữ hoa, chữ thường, chữ số và ký tự đặc biệt).
4. Nhấn nút đăng nhập.</t>
  </si>
  <si>
    <t>Hệ thống cho phép đăng nhập thành công.</t>
  </si>
  <si>
    <t>Kiểm tra mật khẩu chỉ chứa ký tự đặc biệt khi đăng nhập</t>
  </si>
  <si>
    <t>Xác minh hệ thống từ chối mật khẩu chỉ chứa ký tự đặc biệt.</t>
  </si>
  <si>
    <t>1. Truy cập màn hình đăng nhập.
2. Nhập tên đăng nhập hợp lệ.
3. Nhập mật khẩu chỉ chứa ký tự đặc biệt và đảm bảo đủ 8 ký tự.
4. Nhấn nút đăng nhập.</t>
  </si>
  <si>
    <t>Hệ thống hiển thị thông báo lỗi yêu cầu mật khẩu phải chứa chữ hoa, chữ thường và chữ số.</t>
  </si>
  <si>
    <t>Kiểm tra cảnh báo khi để trống mật khẩu/usename  đăng nhập</t>
  </si>
  <si>
    <t>Xác minh rằng hệ thống hiển thị cảnh báo khi người dùng cố gắng đăng nhập mà không nhập mật khẩu.</t>
  </si>
  <si>
    <t>1. Truy cập màn hình đăng nhập.
2. Nhập tên đăng nhập hợp lệ.
3. Để trống trường mật khẩu.
4. Nhấn nút Đăng nhập.
5. Quan sát thông báo lỗi hiển thị.</t>
  </si>
  <si>
    <t>Hệ thống hiển thị thông báo lỗi yêu cầu người dùng nhập mật khẩu.</t>
  </si>
  <si>
    <t>Kiểm tra chuyển hướng đến màn hình Quên mật khẩu</t>
  </si>
  <si>
    <t>Xác minh rằng khi nhấn vào liên kết 'Quên mật khẩu?', người dùng được chuyển hướng đến màn hình 'Quên mật khẩu'.</t>
  </si>
  <si>
    <t>1. Truy cập màn hình đăng nhập.
2. Nhấn vào liên kết 'Quên mật khẩu?'
3. Quan sát màn hình hiển thị.</t>
  </si>
  <si>
    <t>Người dùng được chuyển hướng đến màn hình 'Quên mật khẩu'</t>
  </si>
  <si>
    <t>Tài khoản đã đăng ký nhưng 
chưa chọn vai trò </t>
  </si>
  <si>
    <t>Tự động chuyển sang F-004 (Chọn vai trò) </t>
  </si>
  <si>
    <t>Đăng nhập sai 5 lần liên tiếp trong 30 phút </t>
  </si>
  <si>
    <t>tester3/Enao@2001</t>
  </si>
  <si>
    <t>Khóa tài khoản tạm thời 30 phút. 
Hiển thị thông báo còn lại bao nhiêu phút </t>
  </si>
  <si>
    <t>Kiểm tra đăng nhập lần thứ 6 bằng username/pass đúng</t>
  </si>
  <si>
    <t>tester3/Enao@200</t>
  </si>
  <si>
    <t xml:space="preserve">Hệ thống hiển thị thông báo lỗi Khóa tài khoản tạm thời 30 phút. 
Hiển thị thông báo còn lại bao nhiêu phút </t>
  </si>
  <si>
    <t>Kiểm tra đăng nhập sai lần thứ n&gt;5</t>
  </si>
  <si>
    <t>tester3/Enao@2005</t>
  </si>
  <si>
    <t>Kiểm tra đăng nhập lại sau 30p bị khóa tài khoản với tk đúng</t>
  </si>
  <si>
    <t>đăng nhập thành công</t>
  </si>
  <si>
    <t>Kiểm tra khi đăng nhập với các trường hợp lệ  đúng tại  lần thứ 4,5 (n&lt;=5)</t>
  </si>
  <si>
    <t>Đăng nhập thành công</t>
  </si>
  <si>
    <t>Tài khoản chưa Hoàn thiện hồ sơ </t>
  </si>
  <si>
    <t>Tự động chuyển sang luồng F-003
 (Hoàn thiện hồ sơ) với cảnh báo </t>
  </si>
  <si>
    <t>Tài khoản chưa xác thực OTP </t>
  </si>
  <si>
    <t>Tự động chuyển sang luồng
F-003 (Xác thực OTP) với cảnh báo </t>
  </si>
  <si>
    <t>Tài khoản Tự động xóa khi chưa xác thực OTP</t>
  </si>
  <si>
    <t>1. Truy cập màn hình đăng nhập.
2. Nhập tên đăng nhập đúng.
3. Nhập mật khẩu sai.
4. Nhấn nút 'Đăng nhập'.
5. Thoát ra trong vòng 24h</t>
  </si>
  <si>
    <t>Hệ thống tự động xóa tài khoản chưa xác minh OTP sau 24h</t>
  </si>
  <si>
    <t>Chức năng
&lt;&lt;Liệt kê các chức năng cần kiểm thử&gt;&gt;</t>
  </si>
  <si>
    <t>Mô tả
&lt;&lt; Mô tả test case đáp ứng có kịch bản &gt;&gt;</t>
  </si>
  <si>
    <t>Điều kiện tiên quyết
&lt;&lt; Mô tả điều kiện cần đáp ứng &gt;&gt;</t>
  </si>
  <si>
    <t>Các bước thực hiện
&lt;&lt; Mô tả test case đáp ứng có kịch bản &gt;&gt;</t>
  </si>
  <si>
    <t>Dữ liệu test
&lt;&lt;Dữ liệu cần để thực hiện kịch bản&gt;&gt;</t>
  </si>
  <si>
    <t>Kết quả mong muốn
&lt;&lt; Mô tả kết quả mong muốn &gt;&gt;</t>
  </si>
  <si>
    <t>Kết quả
&lt;&lt;Trạng thái Test&gt;&gt;</t>
  </si>
  <si>
    <t>Ghi chú
&lt;&lt; Bằng chứng lỗi, mã lỗi &gt;&gt;</t>
  </si>
  <si>
    <t>Kiểm tra hiển thị logo LandBase</t>
  </si>
  <si>
    <t>Xác minh logo LandBase hiển thị đúng trên màn quên mật khẩu.</t>
  </si>
  <si>
    <t>Người dùng truy cập được hệ thống.</t>
  </si>
  <si>
    <t>1. Mở màn hình Quên mật khẩu.
2. Quan sát khu vực header góc trái.
3. So sánh logo với thiết kế.</t>
  </si>
  <si>
    <t>URL màn quên mật khẩu</t>
  </si>
  <si>
    <t>Logo LandBase hiển thị đúng vị trí, đúng kích thước, không bị vỡ/méo.</t>
  </si>
  <si>
    <t>Kiểm tra hiển thị menu header</t>
  </si>
  <si>
    <t>Xác minh các menu trên header hiển thị đầy đủ.</t>
  </si>
  <si>
    <t>Người dùng truy cập màn quên mật khẩu.</t>
  </si>
  <si>
    <t>1. Mở màn hình Quên mật khẩu.
2. Quan sát header.
3. Kiểm tra các menu điều hướng và nút hành động.</t>
  </si>
  <si>
    <t>Desktop viewport</t>
  </si>
  <si>
    <t>Header hiển thị logo, menu điều hướng, nút Đăng nhập và Đăng ký theo thiết kế.</t>
  </si>
  <si>
    <t>Kiểm tra tiêu đề lớn bên trái</t>
  </si>
  <si>
    <t>Xác minh tiêu đề marketing bên trái hiển thị đúng.</t>
  </si>
  <si>
    <t>Người dùng ở màn Quên mật khẩu.</t>
  </si>
  <si>
    <t>1. Mở màn hình.
2. Quan sát vùng hero bên trái.
3. Kiểm tra text tiêu đề.</t>
  </si>
  <si>
    <t>Tiêu đề “Quên mật khẩu?” hiển thị rõ, không sai chính tả, không bị cắt chữ.</t>
  </si>
  <si>
    <t>Kiểm tra card Quên mật khẩu</t>
  </si>
  <si>
    <t>Xác minh card nhập email hiển thị đúng.</t>
  </si>
  <si>
    <t>1. Mở màn hình.
2. Quan sát card bên phải.
3. Kiểm tra kích thước, bo góc, đổ bóng.</t>
  </si>
  <si>
    <t>Card hiển thị cân đối, bo góc/đổ bóng đúng, không lệch bố cục.</t>
  </si>
  <si>
    <t>Kiểm tra icon email trên card</t>
  </si>
  <si>
    <t>Xác minh icon email hiển thị đúng trong card.</t>
  </si>
  <si>
    <t>1. Mở màn hình.
2. Quan sát icon phía trên card.</t>
  </si>
  <si>
    <t>Icon email hiển thị đúng màu/kích thước, không bị mất hoặc méo.</t>
  </si>
  <si>
    <t>Kiểm tra title trong card</t>
  </si>
  <si>
    <t>Xác minh title trong card hiển thị đúng.</t>
  </si>
  <si>
    <t>1. Mở màn hình.
2. Kiểm tra title trong card.</t>
  </si>
  <si>
    <t>Title “Quên mật khẩu” hiển thị đúng, không sai chính tả.</t>
  </si>
  <si>
    <t>Kiểm tra mô tả trong card</t>
  </si>
  <si>
    <t>Xác minh hướng dẫn nhập email hiển thị đúng.</t>
  </si>
  <si>
    <t>1. Mở màn hình.
2. Kiểm tra mô tả dưới title.</t>
  </si>
  <si>
    <t>Mô tả “Nhập email để nhận link đặt lại mật khẩu” hiển thị đúng và dễ đọc.</t>
  </si>
  <si>
    <t>Kiểm tra input email</t>
  </si>
  <si>
    <t>Xác minh input email hiển thị và có placeholder đúng.</t>
  </si>
  <si>
    <t>1. Mở màn hình.
2. Quan sát ô nhập email.
3. Kiểm tra placeholder.</t>
  </si>
  <si>
    <t>Input email hiển thị đúng, placeholder “Nhập email của bạn” hiển thị khi chưa nhập.</t>
  </si>
  <si>
    <t>Kiểm tra nút gửi link đặt lại mật khẩu</t>
  </si>
  <si>
    <t>Xác minh CTA gửi link hiển thị đúng.</t>
  </si>
  <si>
    <t>1. Mở màn hình.
2. Quan sát nút chính trong card.</t>
  </si>
  <si>
    <t>Nút “Gửi link đặt lại mật khẩu” hiển thị đúng style, dễ nhận biết là CTA chính.</t>
  </si>
  <si>
    <t>Kiểm tra nút quay lại đăng nhập</t>
  </si>
  <si>
    <t>Xác minh nút phụ quay lại đăng nhập hiển thị đúng.</t>
  </si>
  <si>
    <t>1. Mở màn hình.
2. Quan sát nút dưới cùng card.</t>
  </si>
  <si>
    <t>Nút “Quay lại đăng nhập” hiển thị đúng style outline và không bị che/cắt.</t>
  </si>
  <si>
    <t>Không hiển thị annotation thiết kế</t>
  </si>
  <si>
    <t>Đảm bảo staging/production không hiển thị annotation từ Figma hoặc layer thiết kế.</t>
  </si>
  <si>
    <t>Màn hình được deploy lên môi trường test/staging.</t>
  </si>
  <si>
    <t>1. Mở màn Quên mật khẩu.
2. Kiểm tra toàn màn hình.</t>
  </si>
  <si>
    <t>Không hiển thị viền frame, label thiết kế, guideline hoặc artifact không thuộc UI thật.</t>
  </si>
  <si>
    <t>Điều hướng từ màn đăng nhập sang quên mật khẩu</t>
  </si>
  <si>
    <t>Xác minh link Quên mật khẩu ở màn đăng nhập điều hướng đúng.</t>
  </si>
  <si>
    <t>Người dùng đang ở màn Đăng nhập.</t>
  </si>
  <si>
    <t>1. Mở màn Đăng nhập.
2. Click link “Quên mật khẩu”.</t>
  </si>
  <si>
    <t>Hệ thống điều hướng sang màn Quên mật khẩu đúng URL/màn hình.</t>
  </si>
  <si>
    <t>Quay lại đăng nhập từ màn quên mật khẩu</t>
  </si>
  <si>
    <t>Xác minh nút Quay lại đăng nhập hoạt động đúng.</t>
  </si>
  <si>
    <t>Người dùng đang ở màn Quên mật khẩu.</t>
  </si>
  <si>
    <t>1. Click nút “Quay lại đăng nhập”.</t>
  </si>
  <si>
    <t>Hệ thống điều hướng về màn Đăng nhập.</t>
  </si>
  <si>
    <t>Click nút Đăng nhập trên header</t>
  </si>
  <si>
    <t>Xác minh nút Đăng nhập ở header điều hướng đúng.</t>
  </si>
  <si>
    <t>1. Click nút “Đăng nhập” ở header.</t>
  </si>
  <si>
    <t>Click nút Đăng ký trên header</t>
  </si>
  <si>
    <t>Xác minh nút Đăng ký ở header điều hướng đúng.</t>
  </si>
  <si>
    <t>1. Click nút “Đăng ký” ở header.</t>
  </si>
  <si>
    <t>Hệ thống điều hướng sang màn Đăng ký.</t>
  </si>
  <si>
    <t>Truy cập trực tiếp URL quên mật khẩu</t>
  </si>
  <si>
    <t>Xác minh người dùng có thể mở trực tiếp URL quên mật khẩu.</t>
  </si>
  <si>
    <t>Người dùng chưa đăng nhập hoặc đã logout.</t>
  </si>
  <si>
    <t>1. Nhập trực tiếp URL màn Quên mật khẩu trên trình duyệt.</t>
  </si>
  <si>
    <t>Màn Quên mật khẩu hiển thị bình thường, không bắt đăng nhập.</t>
  </si>
  <si>
    <t>Submit khi email trống</t>
  </si>
  <si>
    <t>Kiểm tra validation khi người dùng không nhập email.</t>
  </si>
  <si>
    <t>1. Để trống input email.
2. Click “Gửi link đặt lại mật khẩu”.</t>
  </si>
  <si>
    <t>Hệ thống hiển thị lỗi "Vui lòng điền email", không gửi request reset.</t>
  </si>
  <si>
    <t>Submit email sai định dạng không có @</t>
  </si>
  <si>
    <t>Kiểm tra validation email không hợp lệ.</t>
  </si>
  <si>
    <t>1. Nhập email không có ký tự @.
2. Click gửi link.</t>
  </si>
  <si>
    <t>Hệ thống hiển thị lỗi email không hợp lệ, không gửi request reset.</t>
  </si>
  <si>
    <t>Submit email sai định dạng thiếu domain</t>
  </si>
  <si>
    <t>Kiểm tra validation email thiếu domain.</t>
  </si>
  <si>
    <t>1. Nhập email thiếu domain.
2. Click gửi link.</t>
  </si>
  <si>
    <t>Hệ thống hiển thị lỗi email không hợp lệ.</t>
  </si>
  <si>
    <t>Email có khoảng trắng đầu/cuối</t>
  </si>
  <si>
    <t>Kiểm tra hệ thống xử lý khoảng trắng khi nhập email.</t>
  </si>
  <si>
    <t>1. Nhập email có khoảng trắng đầu/cuối.
2. Click gửi link.</t>
  </si>
  <si>
    <t>Hệ thống trim khoảng trắng và xử lý email hợp lệ.</t>
  </si>
  <si>
    <t>Email viết hoa</t>
  </si>
  <si>
    <t>Kiểm tra email viết hoa vẫn được xử lý hợp lệ.</t>
  </si>
  <si>
    <t>1. Nhập email viết hoa.
2. Click gửi link.</t>
  </si>
  <si>
    <t>Hệ thống xử lý email không phân biệt hoa/thường và gửi link reset hợp lệ.</t>
  </si>
  <si>
    <t>Email chứa ký tự tiếng Việt</t>
  </si>
  <si>
    <t>Kiểm tra validation email có ký tự không hợp lệ theo rule hệ thống.</t>
  </si>
  <si>
    <t>1. Nhập email chứa ký tự tiếng Việt.
2. Click gửi link.</t>
  </si>
  <si>
    <t xml:space="preserve">Hệ thống hiển thị lỗi email không hợp lệ </t>
  </si>
  <si>
    <t>Copy/paste email vào input</t>
  </si>
  <si>
    <t>Kiểm tra input hỗ trợ paste email.</t>
  </si>
  <si>
    <t>1. Copy email hợp lệ.
2. Paste vào input.
3. Click gửi link.</t>
  </si>
  <si>
    <t>Input nhận đúng giá trị paste và hệ thống xử lý bình thường.</t>
  </si>
  <si>
    <t>Gửi link với email đã đăng ký</t>
  </si>
  <si>
    <t>Kiểm tra happy case gửi email reset password.</t>
  </si>
  <si>
    <t>Email đã tồn tại trong hệ thống.</t>
  </si>
  <si>
    <t>1. Nhập email đã đăng ký.
2. Click “Gửi link đặt lại mật khẩu”.</t>
  </si>
  <si>
    <t>Hệ thống gửi email reset và chuyển sang màn “Email đã được gửi”.</t>
  </si>
  <si>
    <t>Gửi link với email chưa đăng ký</t>
  </si>
  <si>
    <t>Kiểm tra hệ thống không làm lộ email đã tồn tại hay chưa.</t>
  </si>
  <si>
    <t>Email chưa tồn tại trong hệ thống.</t>
  </si>
  <si>
    <t>1. Nhập email chưa đăng ký.
2. Click gửi link.</t>
  </si>
  <si>
    <t>Hệ thống hiển thị phản hồi chung phù hợp, không tiết lộ rõ tài khoản có tồn tại hay không.</t>
  </si>
  <si>
    <t>Loading khi gửi link</t>
  </si>
  <si>
    <t>Kiểm tra trạng thái loading sau khi submit.</t>
  </si>
  <si>
    <t>1. Nhập email hợp lệ.
2. Click gửi link.
3. Quan sát nút/input trong lúc request xử lý.</t>
  </si>
  <si>
    <t>Nút/input được disable hoặc hiển thị loading, tránh thao tác trùng.</t>
  </si>
  <si>
    <t>Nhấn Enter trong input email</t>
  </si>
  <si>
    <t>Kiểm tra submit bằng phím Enter.</t>
  </si>
  <si>
    <t>Người dùng focus trong input email.</t>
  </si>
  <si>
    <t>1. Nhập email hợp lệ.
2. Nhấn Enter.</t>
  </si>
  <si>
    <t>Hệ thống thực hiện gửi link như khi click nút CTA.</t>
  </si>
  <si>
    <t>API timeout khi gửi link</t>
  </si>
  <si>
    <t>Kiểm tra xử lý timeout.</t>
  </si>
  <si>
    <t>Mock request timeout.</t>
  </si>
  <si>
    <t>1. Nhập email hợp lệ.
2. Click gửi link.
3. Chờ timeout.</t>
  </si>
  <si>
    <t>Hiển thị lỗi timeout và giữ nguyên màn với thông tin đã nhập</t>
  </si>
  <si>
    <t>Gửi quá nhiều lần bị giới hạn</t>
  </si>
  <si>
    <t>Kiểm tra rate limit chức năng quên mật khẩu.</t>
  </si>
  <si>
    <t>Có cấu hình giới hạn số lần gửi reset.</t>
  </si>
  <si>
    <t>1. Gửi link reset nhiều lần trong thời gian ngắn.
2. Quan sát phản hồi hệ thống.</t>
  </si>
  <si>
    <t>Hệ thống giới hạn tần suất, hiển thị thông báo thử lại sau, không spam email.</t>
  </si>
  <si>
    <t>Hiển thị màn Email đã được gửi</t>
  </si>
  <si>
    <t>Xác minh màn thành công hiển thị sau khi gửi link.</t>
  </si>
  <si>
    <t>Gửi link reset thành công.</t>
  </si>
  <si>
    <t>1. Nhập email hợp lệ.
2. Click gửi link.
3. Quan sát màn thành công.</t>
  </si>
  <si>
    <t>Màn “Email đã được gửi” hiển thị đúng.</t>
  </si>
  <si>
    <t>Kiểm tra icon thành công</t>
  </si>
  <si>
    <t>Xác minh icon check xanh hiển thị trên màn thành công.</t>
  </si>
  <si>
    <t>Đã gửi email reset thành công.</t>
  </si>
  <si>
    <t>1. Quan sát phần đầu card thành công.</t>
  </si>
  <si>
    <t>Icon check màu xanh hiển thị đúng, không bị vỡ/mất.</t>
  </si>
  <si>
    <t>Kiểm tra title Email đã được gửi</t>
  </si>
  <si>
    <t>Xác minh title màn thành công hiển thị đúng.</t>
  </si>
  <si>
    <t>1. Quan sát title trên màn thành công.</t>
  </si>
  <si>
    <t>Title “Email đã được gửi” hiển thị đúng, không sai chính tả.</t>
  </si>
  <si>
    <t>Hiển thị email vừa nhập</t>
  </si>
  <si>
    <t>Xác minh email trên màn thành công đúng email user đã nhập.</t>
  </si>
  <si>
    <t>1. Nhập email A.
2. Gửi link thành công.
3. Quan sát email hiển thị trên màn thành công.</t>
  </si>
  <si>
    <t>Email hiển thị đúng email đã nhập/được chuẩn hóa, không hiển thị email khác.</t>
  </si>
  <si>
    <t>Kiểm tra nội dung hướng dẫn kiểm tra hộp thư</t>
  </si>
  <si>
    <t>Xác minh hướng dẫn sau khi gửi email hiển thị rõ ràng.</t>
  </si>
  <si>
    <t>1. Quan sát text hướng dẫn dưới email.</t>
  </si>
  <si>
    <t>Hiển thị hướng dẫn kiểm tra hộp thư và làm theo hướng dẫn.</t>
  </si>
  <si>
    <t>Hiển thị block Không nhận được email</t>
  </si>
  <si>
    <t>Xác minh block resend hiển thị đúng.</t>
  </si>
  <si>
    <t>1. Quan sát block bên dưới hướng dẫn.</t>
  </si>
  <si>
    <t>Block “Không nhận được email?” hiển thị đúng.</t>
  </si>
  <si>
    <t>Countdown gửi lại bắt đầu đúng</t>
  </si>
  <si>
    <t>Kiểm tra countdown gửi lại hiển thị sau khi gửi email.</t>
  </si>
  <si>
    <t>1. Quan sát dòng gửi lại sau khi vào màn thành công.</t>
  </si>
  <si>
    <t>Hiển thị countdown gửi lại sau X giây theo cấu hình</t>
  </si>
  <si>
    <t>Countdown giảm theo thời gian</t>
  </si>
  <si>
    <t>Kiểm tra countdown tự động giảm.</t>
  </si>
  <si>
    <t>1. Quan sát countdown trong vài giây.
2. So sánh giá trị sau mỗi giây.</t>
  </si>
  <si>
    <t>Countdown giảm đều theo giây</t>
  </si>
  <si>
    <t>Không cho gửi lại khi countdown chưa hết</t>
  </si>
  <si>
    <t>Kiểm tra resend bị khóa trong thời gian countdown.</t>
  </si>
  <si>
    <t>Đang ở màn thành công, countdown chưa hết.</t>
  </si>
  <si>
    <t>1. Tìm thao tác gửi lại trong block.
2. Thử click nếu có thể.</t>
  </si>
  <si>
    <t>Không thể gửi lại email khi countdown chưa hết; UI thể hiện trạng thái disabled/chờ.</t>
  </si>
  <si>
    <t>Cho gửi lại khi countdown hết</t>
  </si>
  <si>
    <t>Kiểm tra resend được bật sau countdown.</t>
  </si>
  <si>
    <t>Countdown đã về 0.</t>
  </si>
  <si>
    <t>1. Chờ countdown kết thúc.
2. Click Gửi lại email.</t>
  </si>
  <si>
    <t>Hệ thống cho phép gửi lại email reset.</t>
  </si>
  <si>
    <t>Gửi lại email thành công</t>
  </si>
  <si>
    <t>Kiểm tra API gửi lại email reset hoạt động.</t>
  </si>
  <si>
    <t>Countdown đã hết.</t>
  </si>
  <si>
    <t>1. Click gửi lại email.
2. Quan sát phản hồi.</t>
  </si>
  <si>
    <t>Email reset được gửi lại, countdown được reset theo cấu hình.</t>
  </si>
  <si>
    <t>Double click gửi lại email</t>
  </si>
  <si>
    <t>Kiểm tra chống gửi nhiều email khi click nhanh gửi lại.</t>
  </si>
  <si>
    <t>1. Double click nút gửi lại nếu có.</t>
  </si>
  <si>
    <t>Hệ thống chỉ gửi một request gửi lại, không gửi nhiều email trùng.</t>
  </si>
  <si>
    <t>Rate limit gửi lại email</t>
  </si>
  <si>
    <t>Kiểm tra giới hạn tần suất resend.</t>
  </si>
  <si>
    <t>Đã gửi lại nhiều lần.</t>
  </si>
  <si>
    <t>1. Gửi lại nhiều lần sau các countdown.
2. Quan sát phản hồi.</t>
  </si>
  <si>
    <t>Hệ thống áp dụng giới hạn gửi lại theo rule và thông báo thử lại sau nếu vượt giới hạn.</t>
  </si>
  <si>
    <t>Quay lại đăng nhập từ màn thành công</t>
  </si>
  <si>
    <t>Kiểm tra nút Quay lại đăng nhập trên màn thành công.</t>
  </si>
  <si>
    <t>Đang ở màn Email đã được gửi.</t>
  </si>
  <si>
    <t>Refresh màn thành công</t>
  </si>
  <si>
    <t>Kiểm tra trạng thái khi refresh màn Email đã được gửi.</t>
  </si>
  <si>
    <t>1. Refresh trình duyệt.</t>
  </si>
  <si>
    <t>Màn hiển thị lại hợp lý không lỗi trắng trang.</t>
  </si>
  <si>
    <t>Back browser từ màn thành công</t>
  </si>
  <si>
    <t>Kiểm tra nút Back trình duyệt sau khi gửi email.</t>
  </si>
  <si>
    <t>1. Bấm Back trình duyệt.</t>
  </si>
  <si>
    <t>Hệ thống quay về màn Quên mật khẩu không lỗi state.</t>
  </si>
  <si>
    <t>Email reset gửi đúng người nhận</t>
  </si>
  <si>
    <t>Kiểm tra email reset được gửi đến đúng địa chỉ.</t>
  </si>
  <si>
    <t>Email đã đăng ký và hệ thống email hoạt động.</t>
  </si>
  <si>
    <t>1. Nhập email đã đăng ký.
2. Gửi link reset.
3. Kiểm tra hộp thư.</t>
  </si>
  <si>
    <t>Email reset được gửi đến đúng địa chỉ người dùng đã nhập.</t>
  </si>
  <si>
    <t>Nội dung email reset password</t>
  </si>
  <si>
    <t>Kiểm tra nội dung email reset rõ ràng.</t>
  </si>
  <si>
    <t>Email reset đã được gửi.</t>
  </si>
  <si>
    <t>1. Mở email reset.
2. Kiểm tra tiêu đề, sender, nội dung và CTA/link.</t>
  </si>
  <si>
    <t>Email có tiêu đề/sender phù hợp, nội dung dễ hiểu, có link đặt lại mật khẩu.</t>
  </si>
  <si>
    <t>Link reset mở đúng màn đặt lại mật khẩu</t>
  </si>
  <si>
    <t>Kiểm tra link trong email điều hướng đúng.</t>
  </si>
  <si>
    <t>Có email reset hợp lệ.</t>
  </si>
  <si>
    <t>1. Click link reset trong email.</t>
  </si>
  <si>
    <t>Hệ thống mở màn đặt lại mật khẩu với token hợp lệ.</t>
  </si>
  <si>
    <t>Link reset chỉ dùng được một lần</t>
  </si>
  <si>
    <t>Kiểm tra token reset không tái sử dụng.</t>
  </si>
  <si>
    <t>Đã dùng link reset một lần thành công.</t>
  </si>
  <si>
    <t>1. Hoàn tất reset mật khẩu bằng link.
2. Mở lại cùng link.</t>
  </si>
  <si>
    <t>Hệ thống báo link không hợp lệ/đã hết hạn, không cho reset lại.</t>
  </si>
  <si>
    <t>Đặt lại mật khẩu thành công</t>
  </si>
  <si>
    <t>Kiểm tra người dùng có thể hoàn tất đặt lại mật khẩu từ email.</t>
  </si>
  <si>
    <t>Có link reset hợp lệ.</t>
  </si>
  <si>
    <t>1. Mở link reset.
2. Nhập mật khẩu mới hợp lệ.
3. Xác nhận reset.</t>
  </si>
  <si>
    <t>Hệ thống cập nhật mật khẩu thành công và cho phép đăng nhập bằng mật khẩu mới.</t>
  </si>
  <si>
    <t>Mật khẩu cũ không còn đăng nhập được sau reset</t>
  </si>
  <si>
    <t>Kiểm tra bảo mật sau khi reset mật khẩu.</t>
  </si>
  <si>
    <t>User đã reset mật khẩu thành công.</t>
  </si>
  <si>
    <t>1. Về màn đăng nhập.
2. Thử đăng nhập bằng mật khẩu cũ.</t>
  </si>
  <si>
    <t>Hệ thống từ chối đăng nhập bằng mật khẩu cũ.</t>
  </si>
  <si>
    <t>Không lộ tài khoản tồn tại hay không</t>
  </si>
  <si>
    <t>Kiểm tra bảo mật chống account enumeration.</t>
  </si>
  <si>
    <t>Có cả email tồn tại và không tồn tại.</t>
  </si>
  <si>
    <t>1. Gửi reset với email tồn tại.
2. Gửi reset với email không tồn tại.
3. So sánh thông báo.</t>
  </si>
  <si>
    <t>Thông báo phản hồi không tiết lộ rõ email có tồn tại hay không.</t>
  </si>
  <si>
    <t>Không lộ lỗi kỹ thuật ra UI</t>
  </si>
  <si>
    <t>Kiểm tra UI không hiển thị stack trace hoặc thông tin nhạy cảm.</t>
  </si>
  <si>
    <t>Mock backend error.</t>
  </si>
  <si>
    <t>1. Trigger lỗi API.
2. Quan sát message UI.</t>
  </si>
  <si>
    <t>UI hiển thị lỗi thân thiện, không lộ stack trace, token, endpoint nội bộ.</t>
  </si>
  <si>
    <t>Không gửi email cho đăng nhập bằng google</t>
  </si>
  <si>
    <t>Kiểm tra tài khoản đăng nhaaoj bằng google có nhận thư không</t>
  </si>
  <si>
    <t>1. Gửi email quên mật khẩu cho tài khoản đăng nhập bằng google</t>
  </si>
  <si>
    <t>Email của tài khoản đó không nhận email đổi mật khẩu</t>
  </si>
  <si>
    <t>Không gửi token reset trong log client</t>
  </si>
  <si>
    <t>Kiểm tra thông tin nhạy cảm không bị ghi log phía client.</t>
  </si>
  <si>
    <t>Có link/token reset.</t>
  </si>
  <si>
    <t>1. Mở devtools console/network.
2. Thực hiện flow reset.
3. Kiểm tra log client.</t>
  </si>
  <si>
    <t>Không log token reset hoặc dữ liệu nhạy cảm không cần thiết ở console/local storage.</t>
  </si>
  <si>
    <t>Request reset sử dụng HTTPS</t>
  </si>
  <si>
    <t>Kiểm tra request reset password dùng kết nối bảo mật.</t>
  </si>
  <si>
    <t>Môi trường có HTTPS.</t>
  </si>
  <si>
    <t>1. Mở Network tab.
2. Gửi link reset.
3. Kiểm tra protocol request.</t>
  </si>
  <si>
    <t>Request gửi reset password qua HTTPS.</t>
  </si>
  <si>
    <t>Không cho gửi request reset bằng method sai</t>
  </si>
  <si>
    <t>Kiểm tra backend từ chối method không hợp lệ.</t>
  </si>
  <si>
    <t>Có công cụ API testing.</t>
  </si>
  <si>
    <t>1. Gửi request forgot password bằng method không được hỗ trợ.</t>
  </si>
  <si>
    <t>Backend từ chối request sai method.</t>
  </si>
  <si>
    <t>CSRF/CORS theo cấu hình bảo mật</t>
  </si>
  <si>
    <t>Kiểm tra request reset được bảo vệ theo cấu hình hệ thống.</t>
  </si>
  <si>
    <t>Có môi trường test bảo mật.</t>
  </si>
  <si>
    <t>1. Gửi request từ origin không hợp lệ hoặc thiếu CSRF nếu hệ thống yêu cầu.</t>
  </si>
  <si>
    <t>Backend từ chối request không hợp lệ theo rule bảo mật.</t>
  </si>
  <si>
    <t>Responsive desktop 1920x1080</t>
  </si>
  <si>
    <t>Kiểm tra màn Quên mật khẩu trên desktop lớn.</t>
  </si>
  <si>
    <t>Trình duyệt desktop 1920x1080.</t>
  </si>
  <si>
    <t>1. Mở màn Quên mật khẩu.
2. Kiểm tra layout toàn trang.</t>
  </si>
  <si>
    <t>Layout hiển thị đúng, card và hero cân đối, không tràn/chồng chéo.</t>
  </si>
  <si>
    <t>Responsive desktop 1440x900</t>
  </si>
  <si>
    <t>Kiểm tra màn Quên mật khẩu trên desktop phổ biến.</t>
  </si>
  <si>
    <t>Trình duyệt 1440x900.</t>
  </si>
  <si>
    <t>1. Mở màn Quên mật khẩu.
2. Kiểm tra layout.</t>
  </si>
  <si>
    <t>Layout hiển thị đúng, không mất nội dung hoặc CTA.</t>
  </si>
  <si>
    <t>Responsive laptop 1366x768</t>
  </si>
  <si>
    <t>Kiểm tra màn Quên mật khẩu trên laptop.</t>
  </si>
  <si>
    <t>Trình duyệt 1366x768.</t>
  </si>
  <si>
    <t>Layout không bị vỡ, card vẫn nhìn thấy đầy đủ.</t>
  </si>
  <si>
    <t>Responsive tablet</t>
  </si>
  <si>
    <t>Kiểm tra màn Quên mật khẩu trên tablet.</t>
  </si>
  <si>
    <t>Viewport tablet.</t>
  </si>
  <si>
    <t>1. Mở màn trên tablet.
2. Kiểm tra bố cục và thao tác cảm ứng.</t>
  </si>
  <si>
    <t>Layout chuyển đổi phù hợp, input/button dễ thao tác.</t>
  </si>
  <si>
    <t>Responsive mobile 375px</t>
  </si>
  <si>
    <t>Kiểm tra màn Quên mật khẩu trên mobile.</t>
  </si>
  <si>
    <t>Viewport mobile 375px.</t>
  </si>
  <si>
    <t>1. Mở màn trên mobile.
2. Kiểm tra header, card, input, button.</t>
  </si>
  <si>
    <t>Nội dung xếp dọc hợp lý, không tràn ngang, CTA dễ bấm.</t>
  </si>
  <si>
    <t>Responsive mobile 320px</t>
  </si>
  <si>
    <t>Kiểm tra màn Quên mật khẩu trên mobile nhỏ.</t>
  </si>
  <si>
    <t>Viewport 320px.</t>
  </si>
  <si>
    <t>1. Mở màn trên mobile nhỏ.
2. Kiểm tra layout.</t>
  </si>
  <si>
    <t>Không tràn ngang, text không bị cắt nghiêm trọng, vẫn gửi email được.</t>
  </si>
  <si>
    <t>Màn hình chiều cao thấp</t>
  </si>
  <si>
    <t>Kiểm tra layout khi chiều cao trình duyệt thấp.</t>
  </si>
  <si>
    <t>Viewport có height thấp.</t>
  </si>
  <si>
    <t>1. Giảm chiều cao browser.
2. Mở màn Quên mật khẩu.</t>
  </si>
  <si>
    <t>Trang có scroll nếu cần, không mất nút gửi/quay lại.</t>
  </si>
  <si>
    <t>Responsive màn Email đã được gửi trên mobile</t>
  </si>
  <si>
    <t>Kiểm tra màn thành công trên mobile.</t>
  </si>
  <si>
    <t>Đã gửi link reset, viewport mobile.</t>
  </si>
  <si>
    <t>1. Mở màn thành công ở mobile.
2. Kiểm tra card, email, countdown, nút quay lại.</t>
  </si>
  <si>
    <t>Màn thành công hiển thị gọn, không cắt email/countdown/button.</t>
  </si>
  <si>
    <t>Back/Forward trong flow quên mật khẩu</t>
  </si>
  <si>
    <t>Kiểm tra history browser trong flow.</t>
  </si>
  <si>
    <t>Người dùng có thể điều hướng browser.</t>
  </si>
  <si>
    <t>1. Từ login vào Quên mật khẩu.
2. Gửi link thành công.
3. Dùng Back/Forward.</t>
  </si>
  <si>
    <t>History hoạt động hợp lý, không gây gửi lại email ngoài ý muốn hoặc lỗi state.</t>
  </si>
  <si>
    <t>UI</t>
  </si>
  <si>
    <t>Functional</t>
  </si>
  <si>
    <t>API</t>
  </si>
  <si>
    <t>Chọn gói miễn phí</t>
  </si>
  <si>
    <t>Click Thanh toán ngay</t>
  </si>
  <si>
    <t>Data</t>
  </si>
  <si>
    <t>Chọn gói trả phí và mở checkout nội bộ</t>
  </si>
  <si>
    <t>Chọn một gói trả phí từ màn pricing</t>
  </si>
  <si>
    <t>Hệ thống chuyển sang màn xác nhận/thanh toán đúng gói</t>
  </si>
  <si>
    <t>Hiển thị nút Thanh toán ngay khi tổng tiền &gt; 0</t>
  </si>
  <si>
    <t>Vào checkout với gói trả phí không giảm về 0</t>
  </si>
  <si>
    <r>
      <t xml:space="preserve">Button hiển thị </t>
    </r>
    <r>
      <rPr>
        <b/>
        <sz val="11"/>
        <color theme="1"/>
        <rFont val="Arial"/>
      </rPr>
      <t>Thanh toán ngay</t>
    </r>
  </si>
  <si>
    <t>Tạo payment link PayOS thành công</t>
  </si>
  <si>
    <r>
      <t xml:space="preserve">Click </t>
    </r>
    <r>
      <rPr>
        <b/>
        <sz val="11"/>
        <color theme="1"/>
        <rFont val="Arial"/>
      </rPr>
      <t>Thanh toán ngay</t>
    </r>
  </si>
  <si>
    <t>Backend tạo payment link thành công và redirect user sang PayOS checkout</t>
  </si>
  <si>
    <t>Không tạo PayOS payment khi tổng tiền = 0</t>
  </si>
  <si>
    <t>Áp voucher giảm tổng tiền về 0</t>
  </si>
  <si>
    <r>
      <t xml:space="preserve">Button đổi thành </t>
    </r>
    <r>
      <rPr>
        <b/>
        <sz val="11"/>
        <color theme="1"/>
        <rFont val="Arial"/>
      </rPr>
      <t>Kích hoạt ngay</t>
    </r>
    <r>
      <rPr>
        <sz val="11"/>
        <color theme="1"/>
        <rFont val="Arial"/>
      </rPr>
      <t>, không gọi tạo link PayOS</t>
    </r>
  </si>
  <si>
    <t>Không tạo PayOS payment cho gói miễn phí</t>
  </si>
  <si>
    <t>User vào thẳng LandBase, không qua PayOS</t>
  </si>
  <si>
    <t>Truyền đúng orderCode/orderId sang PayOS</t>
  </si>
  <si>
    <t>Đơn PayOS gắn đúng order của hệ thống</t>
  </si>
  <si>
    <t>Truyền đúng số tiền thanh toán</t>
  </si>
  <si>
    <t>Chọn gói trả phí → thanh toán</t>
  </si>
  <si>
    <t>Số tiền gửi sang PayOS đúng với tổng tiền backend đã tính</t>
  </si>
  <si>
    <t>Truyền đúng mô tả thanh toán</t>
  </si>
  <si>
    <t>Mô tả thanh toán hiển thị phù hợp, không chứa dữ liệu nhạy cảm</t>
  </si>
  <si>
    <t>PayOS tạo link thành công</t>
  </si>
  <si>
    <t>Mock PayOS trả checkout URL hợp lệ</t>
  </si>
  <si>
    <t>User được redirect sang checkout URL</t>
  </si>
  <si>
    <t>PayOS tạo link lỗi 500</t>
  </si>
  <si>
    <t>Mock PayOS server error</t>
  </si>
  <si>
    <t>UI báo không thể tạo thanh toán, cho phép thử lại</t>
  </si>
  <si>
    <t>PayOS hiển thị đúng thông tin đơn</t>
  </si>
  <si>
    <t>Quan sát trang PayOS checkout</t>
  </si>
  <si>
    <t>Hiển thị đúng số tiền/mô tả đơn theo dữ liệu đã tạo</t>
  </si>
  <si>
    <t>User thanh toán thành công trên PayOS</t>
  </si>
  <si>
    <t>Hoàn tất thanh toán trên PayOS</t>
  </si>
  <si>
    <t>User được redirect trang Landbase và trạng thái đơn hàng chuyển thành Completed</t>
  </si>
  <si>
    <t>Kiểm tra thời hạn gói</t>
  </si>
  <si>
    <t>Thời gian sử dụng gọi lấy thời gian bắt đầu là thời gian thanh toán thành công và thời gian hết gói theo gói đã mã</t>
  </si>
  <si>
    <t>User hủy thanh toán trên PayOS</t>
  </si>
  <si>
    <t>Click hủy trên PayOS</t>
  </si>
  <si>
    <t>User được redirect về trang chọn gói đăng ký</t>
  </si>
  <si>
    <t>User đóng tab PayOS khi chưa thanh toán</t>
  </si>
  <si>
    <t>Mở PayOS checkout → đóng tab</t>
  </si>
  <si>
    <t>Đơn trong hệ thống vẫn ở trạng thái pending/chưa thanh toán</t>
  </si>
  <si>
    <t>User bấm Back từ PayOS về hệ thống</t>
  </si>
  <si>
    <t>Từ PayOS bấm Back trình duyệt</t>
  </si>
  <si>
    <t>Không kích hoạt gói khi chưa có xác nhận thanh toán hợp lệ</t>
  </si>
  <si>
    <t>User thanh toán, đổi gói khác khi có đơn đang PENDING</t>
  </si>
  <si>
    <t>Bấm thanh toán, đổi gói</t>
  </si>
  <si>
    <t>Hiện thông báo hãy hoàn thành đơn hàng và mở PayOS</t>
  </si>
  <si>
    <t>Mở lại link PayOS đã thanh toán</t>
  </si>
  <si>
    <t>Sau khi thanh toán thành công, mở lại checkout link cũ</t>
  </si>
  <si>
    <t>Không tạo giao dịch mới; hệ thống vẫn chỉ ghi nhận một payment</t>
  </si>
  <si>
    <t>Mở lại link PayOS đã hủy/hết hạn</t>
  </si>
  <si>
    <t>Mở lại link cũ</t>
  </si>
  <si>
    <t>Hệ thống xử lý theo trạng thái PayOS trả về, không active sai</t>
  </si>
  <si>
    <t>Link PayOS hết thời gian thanh toán</t>
  </si>
  <si>
    <t>Đợi hết thời gian thanh toán gói</t>
  </si>
  <si>
    <t>Hệ thống chuyển trạng thái đơn về cancelled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</si>
</sst>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x14ac:knownFonts="1">
    <font>
      <sz val="11"/>
      <color theme="1"/>
      <name val="Arial"/>
    </font>
    <font>
      <sz val="11"/>
      <color theme="1"/>
      <name val="Arial"/>
    </font>
    <font>
      <b/>
      <sz val="11"/>
      <color theme="1"/>
      <name val="Arial"/>
    </font>
    <font>
      <b/>
      <sz val="16"/>
      <name val="Times New Roman"/>
    </font>
    <font>
      <b/>
      <sz val="11"/>
      <name val="Times New Roman"/>
    </font>
    <font>
      <b/>
      <sz val="11"/>
      <color rgb="FFFF0000"/>
      <name val="Times New Roman"/>
    </font>
    <font>
      <b/>
      <sz val="11"/>
      <color rgb="FF333333"/>
      <name val="Times New Roman"/>
    </font>
    <font>
      <sz val="11"/>
      <name val="Times New Roman"/>
    </font>
    <font>
      <b/>
      <sz val="11"/>
      <color theme="1"/>
      <name val="Times New Roman"/>
    </font>
    <font>
      <sz val="11"/>
      <name val="Arial"/>
    </font>
    <font>
      <b/>
      <sz val="11"/>
      <name val="Arial"/>
    </font>
    <font>
      <b/>
      <sz val="11"/>
      <color rgb="FF333333"/>
      <name val="Arial"/>
    </font>
    <font>
      <i/>
      <sz val="11"/>
      <name val="Calibri"/>
      <family val="2"/>
      <scheme val="minor"/>
    </font>
    <font>
      <sz val="11"/>
      <name val="Calibri"/>
      <family val="2"/>
      <scheme val="minor"/>
    </font>
    <font>
      <i/>
      <sz val="11"/>
      <color theme="1"/>
      <name val="Calibri"/>
      <family val="2"/>
      <scheme val="minor"/>
    </font>
    <font>
      <sz val="16"/>
      <name val="Times New Roman"/>
      <family val="1"/>
    </font>
    <font>
      <i/>
      <sz val="9"/>
      <name val="Times New Roman"/>
      <family val="1"/>
    </font>
    <font>
      <sz val="9"/>
      <name val="Times New Roman"/>
      <family val="1"/>
    </font>
    <font>
      <i/>
      <sz val="9"/>
      <color theme="1"/>
      <name val="Times New Roman"/>
      <family val="1"/>
    </font>
    <font>
      <u/>
      <sz val="11"/>
      <color theme="10"/>
      <name val="Arial"/>
    </font>
    <font>
      <sz val="11"/>
      <color rgb="FF000000"/>
      <name val="Arial"/>
    </font>
    <font>
      <sz val="11"/>
      <color rgb="FF000000"/>
      <name val="Arial"/>
      <family val="2"/>
    </font>
    <font>
      <sz val="11"/>
      <color rgb="FFFF0000"/>
      <name val="Arial"/>
    </font>
    <font>
      <u/>
      <sz val="11"/>
      <color rgb="FF0563C1"/>
      <name val="Arial"/>
    </font>
    <font>
      <sz val="10"/>
      <color rgb="FF000000"/>
      <name val="Arial"/>
      <family val="2"/>
    </font>
    <font>
      <sz val="11"/>
      <color theme="1"/>
      <name val="Arial"/>
      <family val="2"/>
    </font>
    <font>
      <sz val="10"/>
      <color theme="1"/>
      <name val="Arial"/>
      <family val="2"/>
    </font>
    <font>
      <u/>
      <sz val="11"/>
      <color theme="1"/>
      <name val="Arial"/>
    </font>
    <font>
      <sz val="12"/>
      <name val="Times New Roman"/>
      <charset val="1"/>
    </font>
    <font>
      <sz val="11"/>
      <color rgb="FFFF0000"/>
      <name val="Arial"/>
      <charset val="1"/>
    </font>
    <font>
      <sz val="12"/>
      <color theme="1"/>
      <name val="Times New Roman"/>
      <charset val="1"/>
    </font>
    <font>
      <sz val="11"/>
      <color theme="1"/>
      <name val="Arial"/>
      <charset val="1"/>
    </font>
  </fonts>
  <fills count="11">
    <fill>
      <patternFill patternType="none"/>
    </fill>
    <fill>
      <patternFill patternType="gray125"/>
    </fill>
    <fill>
      <patternFill patternType="solid">
        <fgColor indexed="9"/>
      </patternFill>
    </fill>
    <fill>
      <patternFill patternType="solid">
        <fgColor theme="4" tint="0.39997558519241921"/>
        <bgColor indexed="65"/>
      </patternFill>
    </fill>
    <fill>
      <patternFill patternType="solid">
        <fgColor rgb="FFFFFF00"/>
      </patternFill>
    </fill>
    <fill>
      <patternFill patternType="solid">
        <fgColor theme="9" tint="0.39997558519241921"/>
        <bgColor indexed="65"/>
      </patternFill>
    </fill>
    <fill>
      <patternFill patternType="solid">
        <fgColor theme="4" tint="0.59999389629810485"/>
        <bgColor indexed="64"/>
      </patternFill>
    </fill>
    <fill>
      <patternFill patternType="solid">
        <fgColor rgb="FFA9D08E"/>
        <bgColor rgb="FF000000"/>
      </patternFill>
    </fill>
    <fill>
      <patternFill patternType="solid">
        <fgColor theme="5" tint="0.59999389629810485"/>
        <bgColor indexed="64"/>
      </patternFill>
    </fill>
    <fill>
      <patternFill patternType="solid">
        <fgColor rgb="FFFFFFFF"/>
        <bgColor indexed="64"/>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style="thin">
        <color auto="1"/>
      </right>
      <top style="thin">
        <color rgb="FF000000"/>
      </top>
      <bottom/>
      <diagonal/>
    </border>
    <border>
      <left style="thin">
        <color auto="1"/>
      </left>
      <right style="thin">
        <color rgb="FF000000"/>
      </right>
      <top style="thin">
        <color rgb="FF000000"/>
      </top>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9" fillId="0" borderId="0" applyNumberFormat="0" applyFill="0" applyBorder="0" applyAlignment="0" applyProtection="0"/>
  </cellStyleXfs>
  <cellXfs count="79">
    <xf numFmtId="0" fontId="0" fillId="0" borderId="0" xfId="0"/>
    <xf numFmtId="0" fontId="0" fillId="0" borderId="0" xfId="0" applyAlignment="1">
      <alignment wrapText="1"/>
    </xf>
    <xf numFmtId="0" fontId="4" fillId="2" borderId="11" xfId="0" applyFont="1" applyFill="1" applyBorder="1" applyAlignment="1">
      <alignment vertical="center" wrapText="1"/>
    </xf>
    <xf numFmtId="0" fontId="0" fillId="0" borderId="0" xfId="0" applyAlignment="1">
      <alignment vertical="center" wrapText="1"/>
    </xf>
    <xf numFmtId="0" fontId="6" fillId="0" borderId="0" xfId="0" applyFont="1" applyAlignment="1">
      <alignment horizontal="right" vertical="center" wrapText="1"/>
    </xf>
    <xf numFmtId="0" fontId="4" fillId="2" borderId="0" xfId="0" applyFont="1" applyFill="1" applyAlignment="1">
      <alignment vertical="center" wrapText="1"/>
    </xf>
    <xf numFmtId="0" fontId="7" fillId="0" borderId="0" xfId="0" applyFont="1" applyAlignment="1">
      <alignment horizontal="center" vertical="center" wrapText="1"/>
    </xf>
    <xf numFmtId="0" fontId="11" fillId="0" borderId="0" xfId="0" applyFont="1" applyAlignment="1">
      <alignment horizontal="right" vertical="center" wrapText="1"/>
    </xf>
    <xf numFmtId="0" fontId="10" fillId="2" borderId="0" xfId="0" applyFont="1" applyFill="1" applyAlignment="1">
      <alignment vertical="center" wrapText="1"/>
    </xf>
    <xf numFmtId="0" fontId="9" fillId="0" borderId="0" xfId="0" applyFont="1" applyAlignment="1">
      <alignment horizontal="center" vertical="center" wrapText="1"/>
    </xf>
    <xf numFmtId="0" fontId="0" fillId="0" borderId="12" xfId="0" applyBorder="1" applyAlignment="1">
      <alignment vertical="top" wrapText="1"/>
    </xf>
    <xf numFmtId="0" fontId="1" fillId="0" borderId="0" xfId="0" applyFont="1" applyAlignment="1">
      <alignment wrapText="1"/>
    </xf>
    <xf numFmtId="0" fontId="9" fillId="0" borderId="0" xfId="0" applyFont="1"/>
    <xf numFmtId="0" fontId="2" fillId="0" borderId="0" xfId="0" applyFont="1" applyAlignment="1">
      <alignment horizontal="center" vertical="center" wrapText="1"/>
    </xf>
    <xf numFmtId="0" fontId="0" fillId="6" borderId="13" xfId="0" applyFill="1" applyBorder="1" applyAlignment="1">
      <alignment wrapText="1"/>
    </xf>
    <xf numFmtId="0" fontId="0" fillId="0" borderId="13" xfId="0" applyBorder="1" applyAlignment="1">
      <alignment vertical="top" wrapText="1"/>
    </xf>
    <xf numFmtId="0" fontId="5" fillId="0" borderId="13" xfId="0" applyFont="1" applyBorder="1" applyAlignment="1">
      <alignment horizontal="center" vertical="center" wrapText="1"/>
    </xf>
    <xf numFmtId="0" fontId="10" fillId="3" borderId="13"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20" fillId="0" borderId="0" xfId="0" applyFont="1" applyAlignment="1">
      <alignment wrapText="1"/>
    </xf>
    <xf numFmtId="0" fontId="19" fillId="0" borderId="0" xfId="1" applyFill="1" applyBorder="1" applyAlignment="1">
      <alignment wrapText="1"/>
    </xf>
    <xf numFmtId="0" fontId="21" fillId="0" borderId="0" xfId="0" applyFont="1" applyAlignment="1">
      <alignment wrapText="1"/>
    </xf>
    <xf numFmtId="0" fontId="22" fillId="0" borderId="0" xfId="0" applyFont="1" applyAlignment="1">
      <alignment wrapText="1"/>
    </xf>
    <xf numFmtId="0" fontId="20" fillId="0" borderId="0" xfId="0" applyFont="1"/>
    <xf numFmtId="0" fontId="23" fillId="0" borderId="0" xfId="0" applyFont="1" applyAlignment="1">
      <alignment wrapText="1"/>
    </xf>
    <xf numFmtId="0" fontId="24" fillId="0" borderId="0" xfId="0" applyFont="1" applyAlignment="1">
      <alignment wrapText="1"/>
    </xf>
    <xf numFmtId="0" fontId="21" fillId="0" borderId="0" xfId="0" applyFont="1"/>
    <xf numFmtId="0" fontId="20" fillId="0" borderId="0" xfId="0" applyFont="1" applyAlignment="1">
      <alignment horizontal="left" wrapText="1"/>
    </xf>
    <xf numFmtId="0" fontId="25" fillId="0" borderId="0" xfId="0" applyFont="1" applyAlignment="1">
      <alignment wrapText="1"/>
    </xf>
    <xf numFmtId="0" fontId="26" fillId="0" borderId="0" xfId="0" applyFont="1" applyAlignment="1">
      <alignment wrapText="1"/>
    </xf>
    <xf numFmtId="0" fontId="21" fillId="0" borderId="0" xfId="0" quotePrefix="1" applyFont="1" applyAlignment="1">
      <alignment wrapText="1"/>
    </xf>
    <xf numFmtId="0" fontId="20" fillId="8" borderId="0" xfId="0" applyFont="1" applyFill="1" applyAlignment="1">
      <alignment wrapText="1"/>
    </xf>
    <xf numFmtId="0" fontId="27" fillId="0" borderId="0" xfId="1" applyFont="1" applyFill="1" applyBorder="1" applyAlignment="1">
      <alignment wrapText="1"/>
    </xf>
    <xf numFmtId="0" fontId="0" fillId="8" borderId="0" xfId="0" applyFill="1" applyAlignment="1">
      <alignment wrapText="1"/>
    </xf>
    <xf numFmtId="0" fontId="22" fillId="0" borderId="0" xfId="0" applyFont="1"/>
    <xf numFmtId="0" fontId="28" fillId="0" borderId="16" xfId="0" applyFont="1" applyBorder="1" applyAlignment="1">
      <alignment readingOrder="1"/>
    </xf>
    <xf numFmtId="0" fontId="28" fillId="0" borderId="15" xfId="0" applyFont="1" applyBorder="1" applyAlignment="1">
      <alignment wrapText="1" readingOrder="1"/>
    </xf>
    <xf numFmtId="0" fontId="29" fillId="9" borderId="0" xfId="0" applyFont="1" applyFill="1"/>
    <xf numFmtId="0" fontId="30" fillId="0" borderId="17" xfId="0" applyFont="1" applyBorder="1"/>
    <xf numFmtId="0" fontId="30" fillId="0" borderId="18" xfId="0" applyFont="1" applyBorder="1"/>
    <xf numFmtId="0" fontId="30" fillId="0" borderId="18" xfId="0" applyFont="1" applyBorder="1" applyAlignment="1">
      <alignment wrapText="1"/>
    </xf>
    <xf numFmtId="0" fontId="30" fillId="0" borderId="19" xfId="0" applyFont="1" applyBorder="1" applyAlignment="1">
      <alignment readingOrder="1"/>
    </xf>
    <xf numFmtId="0" fontId="30" fillId="0" borderId="20" xfId="0" applyFont="1" applyBorder="1" applyAlignment="1">
      <alignment readingOrder="1"/>
    </xf>
    <xf numFmtId="0" fontId="30" fillId="0" borderId="20" xfId="0" applyFont="1" applyBorder="1" applyAlignment="1">
      <alignment wrapText="1" readingOrder="1"/>
    </xf>
    <xf numFmtId="0" fontId="31" fillId="9" borderId="0" xfId="0" applyFont="1" applyFill="1" applyAlignment="1">
      <alignment wrapText="1"/>
    </xf>
    <xf numFmtId="0" fontId="30" fillId="0" borderId="17" xfId="0" applyFont="1" applyBorder="1" applyAlignment="1">
      <alignment readingOrder="1"/>
    </xf>
    <xf numFmtId="0" fontId="30" fillId="0" borderId="18" xfId="0" applyFont="1" applyBorder="1" applyAlignment="1">
      <alignment readingOrder="1"/>
    </xf>
    <xf numFmtId="0" fontId="30" fillId="0" borderId="0" xfId="0" applyFont="1"/>
    <xf numFmtId="0" fontId="30" fillId="0" borderId="0" xfId="0" applyFont="1" applyAlignment="1">
      <alignment wrapText="1"/>
    </xf>
    <xf numFmtId="0" fontId="30" fillId="10" borderId="15" xfId="0" applyFont="1" applyFill="1" applyBorder="1" applyAlignment="1">
      <alignment readingOrder="1"/>
    </xf>
    <xf numFmtId="0" fontId="30" fillId="10" borderId="16" xfId="0" applyFont="1" applyFill="1" applyBorder="1" applyAlignment="1">
      <alignment readingOrder="1"/>
    </xf>
    <xf numFmtId="0" fontId="30" fillId="10" borderId="0" xfId="0" applyFont="1" applyFill="1"/>
    <xf numFmtId="0" fontId="0" fillId="10" borderId="0" xfId="0" applyFill="1"/>
    <xf numFmtId="0" fontId="30" fillId="10" borderId="0" xfId="0" applyFont="1" applyFill="1" applyAlignment="1">
      <alignment wrapText="1"/>
    </xf>
    <xf numFmtId="0" fontId="20" fillId="7" borderId="9" xfId="0" applyFont="1" applyFill="1" applyBorder="1" applyAlignment="1">
      <alignment wrapText="1"/>
    </xf>
    <xf numFmtId="0" fontId="20" fillId="7" borderId="10" xfId="0" applyFont="1" applyFill="1" applyBorder="1" applyAlignment="1">
      <alignment wrapText="1"/>
    </xf>
    <xf numFmtId="0" fontId="20" fillId="7" borderId="14" xfId="0" applyFont="1" applyFill="1" applyBorder="1" applyAlignment="1">
      <alignment wrapText="1"/>
    </xf>
    <xf numFmtId="0" fontId="0" fillId="5" borderId="0" xfId="0" applyFill="1" applyAlignment="1">
      <alignment horizontal="left" wrapText="1"/>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4" fillId="2" borderId="9" xfId="0" applyFont="1" applyFill="1" applyBorder="1" applyAlignment="1">
      <alignment vertical="center" wrapText="1"/>
    </xf>
    <xf numFmtId="0" fontId="4" fillId="2" borderId="10" xfId="0" applyFont="1" applyFill="1" applyBorder="1" applyAlignment="1">
      <alignment vertical="center" wrapText="1"/>
    </xf>
    <xf numFmtId="0" fontId="4" fillId="2" borderId="11" xfId="0" applyFont="1" applyFill="1" applyBorder="1" applyAlignment="1">
      <alignment vertical="center" wrapText="1"/>
    </xf>
    <xf numFmtId="0" fontId="0" fillId="5" borderId="2" xfId="0" applyFill="1" applyBorder="1" applyAlignment="1">
      <alignment horizontal="left" wrapText="1"/>
    </xf>
    <xf numFmtId="0" fontId="0" fillId="4" borderId="13" xfId="0" applyFill="1" applyBorder="1" applyAlignment="1">
      <alignment horizontal="left" wrapText="1"/>
    </xf>
    <xf numFmtId="0" fontId="0" fillId="4" borderId="0" xfId="0" applyFill="1" applyAlignment="1">
      <alignment horizontal="left" wrapText="1"/>
    </xf>
    <xf numFmtId="0" fontId="0" fillId="3" borderId="0" xfId="0" applyFill="1" applyAlignment="1">
      <alignment horizontal="left" wrapText="1"/>
    </xf>
    <xf numFmtId="0" fontId="30" fillId="0" borderId="21" xfId="0" applyFont="1" applyBorder="1" applyAlignment="1">
      <alignment horizontal="center" readingOrder="1"/>
    </xf>
    <xf numFmtId="0" fontId="30" fillId="0" borderId="22" xfId="0" applyFont="1" applyBorder="1" applyAlignment="1">
      <alignment horizontal="center" readingOrder="1"/>
    </xf>
    <xf numFmtId="0" fontId="0" fillId="0" borderId="0" xfId="0" applyAlignment="1">
      <alignment horizontal="center" vertical="center" wrapText="1"/>
    </xf>
  </cellXfs>
  <cellStyles count="2">
    <cellStyle name="Hyperlink" xfId="1" builtinId="8"/>
    <cellStyle name="Normal" xfId="0" builtinId="0"/>
  </cellStyles>
  <dxfs count="3">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s>
  <tableStyles count="1" defaultTableStyle="TableStyleMedium2" defaultPivotStyle="PivotStyleLight16">
    <tableStyle name="Invisible" pivot="0" table="0" count="0" xr9:uid="{7C60CB1E-76D6-4C55-B4D6-69BC3DC9F4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781050</xdr:colOff>
      <xdr:row>44</xdr:row>
      <xdr:rowOff>847725</xdr:rowOff>
    </xdr:from>
    <xdr:to>
      <xdr:col>10</xdr:col>
      <xdr:colOff>600075</xdr:colOff>
      <xdr:row>67</xdr:row>
      <xdr:rowOff>28575</xdr:rowOff>
    </xdr:to>
    <xdr:pic>
      <xdr:nvPicPr>
        <xdr:cNvPr id="2" name="Picture 1">
          <a:extLst>
            <a:ext uri="{FF2B5EF4-FFF2-40B4-BE49-F238E27FC236}">
              <a16:creationId xmlns:a16="http://schemas.microsoft.com/office/drawing/2014/main" id="{87C8D0B1-1C69-C312-2FAF-459B8FE273C3}"/>
            </a:ext>
          </a:extLst>
        </xdr:cNvPr>
        <xdr:cNvPicPr>
          <a:picLocks noChangeAspect="1"/>
        </xdr:cNvPicPr>
      </xdr:nvPicPr>
      <xdr:blipFill>
        <a:blip xmlns:r="http://schemas.openxmlformats.org/officeDocument/2006/relationships" r:embed="rId1"/>
        <a:stretch>
          <a:fillRect/>
        </a:stretch>
      </xdr:blipFill>
      <xdr:spPr>
        <a:xfrm>
          <a:off x="15906750" y="30480000"/>
          <a:ext cx="3057525" cy="3895725"/>
        </a:xfrm>
        <a:prstGeom prst="rect">
          <a:avLst/>
        </a:prstGeom>
      </xdr:spPr>
    </xdr:pic>
    <xdr:clientData/>
  </xdr:twoCellAnchor>
  <xdr:twoCellAnchor editAs="oneCell">
    <xdr:from>
      <xdr:col>10</xdr:col>
      <xdr:colOff>581025</xdr:colOff>
      <xdr:row>44</xdr:row>
      <xdr:rowOff>523875</xdr:rowOff>
    </xdr:from>
    <xdr:to>
      <xdr:col>14</xdr:col>
      <xdr:colOff>228600</xdr:colOff>
      <xdr:row>69</xdr:row>
      <xdr:rowOff>38100</xdr:rowOff>
    </xdr:to>
    <xdr:pic>
      <xdr:nvPicPr>
        <xdr:cNvPr id="3" name="Picture 2">
          <a:extLst>
            <a:ext uri="{FF2B5EF4-FFF2-40B4-BE49-F238E27FC236}">
              <a16:creationId xmlns:a16="http://schemas.microsoft.com/office/drawing/2014/main" id="{6BA78E21-13AB-8C28-321E-8CBF6CBDF379}"/>
            </a:ext>
            <a:ext uri="{147F2762-F138-4A5C-976F-8EAC2B608ADB}">
              <a16:predDERef xmlns:a16="http://schemas.microsoft.com/office/drawing/2014/main" pred="{87C8D0B1-1C69-C312-2FAF-459B8FE273C3}"/>
            </a:ext>
          </a:extLst>
        </xdr:cNvPr>
        <xdr:cNvPicPr>
          <a:picLocks noChangeAspect="1"/>
        </xdr:cNvPicPr>
      </xdr:nvPicPr>
      <xdr:blipFill>
        <a:blip xmlns:r="http://schemas.openxmlformats.org/officeDocument/2006/relationships" r:embed="rId2"/>
        <a:stretch>
          <a:fillRect/>
        </a:stretch>
      </xdr:blipFill>
      <xdr:spPr>
        <a:xfrm>
          <a:off x="18945225" y="30156150"/>
          <a:ext cx="3943350" cy="45720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testemail@examplecom" TargetMode="External"/><Relationship Id="rId7" Type="http://schemas.openxmlformats.org/officeDocument/2006/relationships/hyperlink" Target="mailto:user78/Enao789@/" TargetMode="External"/><Relationship Id="rId2" Type="http://schemas.openxmlformats.org/officeDocument/2006/relationships/hyperlink" Target="http://thanhthuygmail.com/" TargetMode="External"/><Relationship Id="rId1" Type="http://schemas.openxmlformats.org/officeDocument/2006/relationships/hyperlink" Target="mailto:user78/Enao789@/" TargetMode="External"/><Relationship Id="rId6" Type="http://schemas.openxmlformats.org/officeDocument/2006/relationships/hyperlink" Target="mailto:ngoclan@@gmail.com" TargetMode="External"/><Relationship Id="rId5" Type="http://schemas.openxmlformats.org/officeDocument/2006/relationships/hyperlink" Target="@gmail.com" TargetMode="External"/><Relationship Id="rId4" Type="http://schemas.openxmlformats.org/officeDocument/2006/relationships/hyperlink" Target="mailto:thaopham89@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7"/>
  <sheetViews>
    <sheetView tabSelected="1" topLeftCell="A155" workbookViewId="0">
      <selection activeCell="A159" sqref="A159"/>
    </sheetView>
  </sheetViews>
  <sheetFormatPr defaultColWidth="8.69921875" defaultRowHeight="13.8" x14ac:dyDescent="0.25"/>
  <cols>
    <col min="1" max="1" width="16.19921875" style="1" customWidth="1"/>
    <col min="2" max="2" width="24.19921875" style="1" customWidth="1"/>
    <col min="3" max="3" width="23.8984375" style="1" customWidth="1"/>
    <col min="4" max="4" width="17.19921875" style="1" customWidth="1"/>
    <col min="5" max="5" width="53.59765625" style="1" customWidth="1"/>
    <col min="6" max="6" width="29.5" style="1" customWidth="1"/>
    <col min="7" max="7" width="35" style="1" customWidth="1"/>
    <col min="8" max="8" width="13.3984375" style="1" customWidth="1"/>
    <col min="9" max="9" width="19.09765625" style="1" customWidth="1"/>
    <col min="10" max="10" width="23.3984375" style="1" customWidth="1"/>
    <col min="11" max="11" width="29.3984375" style="1" customWidth="1"/>
    <col min="12" max="16384" width="8.69921875" style="1"/>
  </cols>
  <sheetData>
    <row r="1" spans="1:11" ht="13.95" customHeight="1" x14ac:dyDescent="0.25">
      <c r="A1" s="60" t="s">
        <v>0</v>
      </c>
      <c r="B1" s="61"/>
      <c r="C1" s="61"/>
      <c r="D1" s="61"/>
      <c r="E1" s="62"/>
    </row>
    <row r="2" spans="1:11" ht="13.95" customHeight="1" x14ac:dyDescent="0.25">
      <c r="A2" s="63"/>
      <c r="B2" s="64"/>
      <c r="C2" s="64"/>
      <c r="D2" s="64"/>
      <c r="E2" s="65"/>
    </row>
    <row r="3" spans="1:11" ht="13.95" customHeight="1" x14ac:dyDescent="0.25">
      <c r="A3" s="66"/>
      <c r="B3" s="67"/>
      <c r="C3" s="67"/>
      <c r="D3" s="67"/>
      <c r="E3" s="68"/>
    </row>
    <row r="4" spans="1:11" x14ac:dyDescent="0.25">
      <c r="A4" s="69" t="s">
        <v>1</v>
      </c>
      <c r="B4" s="70"/>
      <c r="C4" s="71"/>
      <c r="D4" s="2" t="s">
        <v>2</v>
      </c>
      <c r="E4" s="16">
        <f>COUNTIF(H12:H479,"PASS")</f>
        <v>116</v>
      </c>
      <c r="F4" s="3"/>
      <c r="G4" s="3"/>
      <c r="H4" s="3"/>
      <c r="I4" s="3"/>
      <c r="J4" s="3"/>
      <c r="K4" s="3"/>
    </row>
    <row r="5" spans="1:11" x14ac:dyDescent="0.25">
      <c r="A5" s="69" t="s">
        <v>3</v>
      </c>
      <c r="B5" s="70"/>
      <c r="C5" s="71"/>
      <c r="D5" s="2"/>
      <c r="E5" s="16">
        <f>COUNTIF(H12:H479,"FAIL")</f>
        <v>0</v>
      </c>
      <c r="F5" s="3"/>
      <c r="G5" s="3"/>
      <c r="H5" s="3"/>
      <c r="I5" s="3"/>
      <c r="J5" s="3"/>
      <c r="K5" s="3"/>
    </row>
    <row r="6" spans="1:11" x14ac:dyDescent="0.25">
      <c r="A6" s="69" t="s">
        <v>4</v>
      </c>
      <c r="B6" s="70"/>
      <c r="C6" s="71"/>
      <c r="D6" s="2"/>
      <c r="E6" s="16">
        <f>COUNTIF(H12:H479,"Pending")</f>
        <v>0</v>
      </c>
      <c r="G6" s="3"/>
      <c r="H6" s="3"/>
      <c r="I6" s="3"/>
      <c r="J6" s="3"/>
      <c r="K6" s="3"/>
    </row>
    <row r="7" spans="1:11" x14ac:dyDescent="0.25">
      <c r="A7" s="69" t="s">
        <v>5</v>
      </c>
      <c r="B7" s="70"/>
      <c r="C7" s="71"/>
      <c r="D7" s="2"/>
      <c r="E7" s="16">
        <f>COUNTA(H12:H479)</f>
        <v>116</v>
      </c>
      <c r="F7" s="3"/>
      <c r="G7" s="3"/>
      <c r="H7" s="3"/>
      <c r="I7" s="3"/>
      <c r="J7" s="3"/>
      <c r="K7" s="3"/>
    </row>
    <row r="8" spans="1:11" x14ac:dyDescent="0.25">
      <c r="A8" s="7"/>
      <c r="B8" s="8"/>
      <c r="C8" s="8"/>
      <c r="D8" s="8"/>
      <c r="E8" s="8"/>
      <c r="F8" s="9"/>
      <c r="G8" s="9"/>
      <c r="H8" s="9"/>
      <c r="I8" s="9"/>
      <c r="J8" s="9"/>
      <c r="K8" s="9"/>
    </row>
    <row r="9" spans="1:11" ht="56.4" x14ac:dyDescent="0.25">
      <c r="A9" s="17" t="s">
        <v>6</v>
      </c>
      <c r="B9" s="17" t="s">
        <v>7</v>
      </c>
      <c r="C9" s="17" t="s">
        <v>8</v>
      </c>
      <c r="D9" s="17" t="s">
        <v>9</v>
      </c>
      <c r="E9" s="17" t="s">
        <v>10</v>
      </c>
      <c r="F9" s="17" t="s">
        <v>11</v>
      </c>
      <c r="G9" s="17" t="s">
        <v>12</v>
      </c>
      <c r="H9" s="17" t="s">
        <v>13</v>
      </c>
      <c r="I9" s="17" t="s">
        <v>14</v>
      </c>
      <c r="J9" s="17" t="s">
        <v>15</v>
      </c>
      <c r="K9" s="18" t="s">
        <v>16</v>
      </c>
    </row>
    <row r="10" spans="1:11" x14ac:dyDescent="0.25">
      <c r="A10" s="72" t="s">
        <v>17</v>
      </c>
      <c r="B10" s="72"/>
      <c r="C10" s="72"/>
      <c r="D10" s="72"/>
      <c r="E10" s="72"/>
      <c r="F10" s="72"/>
      <c r="G10" s="72"/>
      <c r="H10" s="72"/>
      <c r="I10" s="72"/>
      <c r="J10" s="72"/>
      <c r="K10" s="72"/>
    </row>
    <row r="11" spans="1:11" ht="69" x14ac:dyDescent="0.25">
      <c r="B11" s="10" t="s">
        <v>18</v>
      </c>
      <c r="C11" s="10" t="s">
        <v>19</v>
      </c>
      <c r="D11" s="1" t="s">
        <v>20</v>
      </c>
      <c r="E11" s="1" t="s">
        <v>21</v>
      </c>
      <c r="G11" s="1" t="s">
        <v>22</v>
      </c>
    </row>
    <row r="12" spans="1:11" ht="82.8" x14ac:dyDescent="0.25">
      <c r="E12" s="11" t="s">
        <v>23</v>
      </c>
      <c r="G12" s="11" t="s">
        <v>24</v>
      </c>
    </row>
    <row r="13" spans="1:11" ht="82.8" x14ac:dyDescent="0.25">
      <c r="E13" s="11" t="s">
        <v>25</v>
      </c>
      <c r="G13" s="11" t="s">
        <v>26</v>
      </c>
    </row>
    <row r="14" spans="1:11" ht="82.8" x14ac:dyDescent="0.25">
      <c r="E14" s="11" t="s">
        <v>27</v>
      </c>
      <c r="G14" s="11" t="s">
        <v>28</v>
      </c>
    </row>
    <row r="15" spans="1:11" x14ac:dyDescent="0.25">
      <c r="A15" s="59" t="s">
        <v>29</v>
      </c>
      <c r="B15" s="59"/>
      <c r="C15" s="59"/>
      <c r="D15" s="59"/>
      <c r="E15" s="59"/>
      <c r="F15" s="59"/>
      <c r="G15" s="59"/>
      <c r="H15" s="59"/>
      <c r="I15" s="59"/>
      <c r="J15" s="59"/>
      <c r="K15" s="59"/>
    </row>
    <row r="16" spans="1:11" x14ac:dyDescent="0.25">
      <c r="A16" s="74" t="s">
        <v>30</v>
      </c>
      <c r="B16" s="74"/>
      <c r="C16" s="74"/>
      <c r="D16" s="74"/>
      <c r="E16" s="74"/>
      <c r="F16" s="74"/>
      <c r="G16" s="74"/>
      <c r="H16" s="74"/>
      <c r="I16" s="74"/>
      <c r="J16" s="74"/>
      <c r="K16" s="74"/>
    </row>
    <row r="17" spans="1:11" ht="55.2" x14ac:dyDescent="0.25">
      <c r="A17" s="21"/>
      <c r="B17" s="21" t="s">
        <v>31</v>
      </c>
      <c r="C17" s="21" t="s">
        <v>32</v>
      </c>
      <c r="D17" s="21"/>
      <c r="E17" s="21" t="s">
        <v>33</v>
      </c>
      <c r="F17" s="21" t="s">
        <v>34</v>
      </c>
      <c r="G17" s="21" t="s">
        <v>35</v>
      </c>
      <c r="H17" s="33" t="s">
        <v>36</v>
      </c>
      <c r="I17" s="21"/>
      <c r="J17" s="21"/>
      <c r="K17" s="21"/>
    </row>
    <row r="18" spans="1:11" ht="41.4" x14ac:dyDescent="0.25">
      <c r="A18" s="21"/>
      <c r="B18" s="21" t="s">
        <v>37</v>
      </c>
      <c r="C18" s="21" t="s">
        <v>38</v>
      </c>
      <c r="D18" s="21"/>
      <c r="E18" s="21" t="s">
        <v>39</v>
      </c>
      <c r="F18" s="21" t="s">
        <v>40</v>
      </c>
      <c r="G18" s="21" t="s">
        <v>35</v>
      </c>
      <c r="H18" s="33" t="s">
        <v>36</v>
      </c>
      <c r="I18" s="21"/>
      <c r="J18" s="21"/>
      <c r="K18" s="21"/>
    </row>
    <row r="19" spans="1:11" ht="41.4" x14ac:dyDescent="0.25">
      <c r="A19" s="21"/>
      <c r="B19" s="21" t="s">
        <v>41</v>
      </c>
      <c r="C19" s="21" t="s">
        <v>38</v>
      </c>
      <c r="D19" s="21"/>
      <c r="E19" s="21" t="s">
        <v>39</v>
      </c>
      <c r="F19" s="21" t="s">
        <v>42</v>
      </c>
      <c r="G19" s="21" t="s">
        <v>35</v>
      </c>
      <c r="H19" s="33" t="s">
        <v>36</v>
      </c>
      <c r="I19" s="21"/>
      <c r="J19" s="21"/>
      <c r="K19" s="21"/>
    </row>
    <row r="20" spans="1:11" ht="41.4" x14ac:dyDescent="0.25">
      <c r="A20" s="21"/>
      <c r="B20" s="21" t="s">
        <v>43</v>
      </c>
      <c r="C20" s="21" t="s">
        <v>38</v>
      </c>
      <c r="D20" s="21"/>
      <c r="E20" s="21" t="s">
        <v>39</v>
      </c>
      <c r="F20" s="21" t="s">
        <v>44</v>
      </c>
      <c r="G20" s="21" t="s">
        <v>35</v>
      </c>
      <c r="H20" s="33" t="s">
        <v>36</v>
      </c>
      <c r="I20" s="21"/>
      <c r="J20" s="21"/>
      <c r="K20" s="21"/>
    </row>
    <row r="21" spans="1:11" ht="55.2" x14ac:dyDescent="0.25">
      <c r="A21" s="21"/>
      <c r="B21" s="21" t="s">
        <v>45</v>
      </c>
      <c r="C21" s="21" t="s">
        <v>46</v>
      </c>
      <c r="D21" s="21"/>
      <c r="E21" s="21" t="s">
        <v>47</v>
      </c>
      <c r="F21" s="21" t="s">
        <v>48</v>
      </c>
      <c r="G21" s="21" t="s">
        <v>49</v>
      </c>
      <c r="H21" s="33" t="s">
        <v>36</v>
      </c>
      <c r="I21" s="21"/>
      <c r="J21" s="21"/>
      <c r="K21" s="21"/>
    </row>
    <row r="22" spans="1:11" ht="55.2" x14ac:dyDescent="0.25">
      <c r="A22" s="21"/>
      <c r="B22" s="21" t="s">
        <v>50</v>
      </c>
      <c r="C22" s="21" t="s">
        <v>51</v>
      </c>
      <c r="D22" s="21"/>
      <c r="E22" s="21" t="s">
        <v>47</v>
      </c>
      <c r="F22" s="21" t="s">
        <v>52</v>
      </c>
      <c r="G22" s="21" t="s">
        <v>49</v>
      </c>
      <c r="H22" s="33" t="s">
        <v>36</v>
      </c>
      <c r="I22" s="21"/>
      <c r="J22" s="21"/>
      <c r="K22" s="21"/>
    </row>
    <row r="23" spans="1:11" ht="55.2" x14ac:dyDescent="0.25">
      <c r="A23" s="21"/>
      <c r="B23" s="21" t="s">
        <v>53</v>
      </c>
      <c r="C23" s="21" t="s">
        <v>54</v>
      </c>
      <c r="D23" s="21"/>
      <c r="E23" s="21" t="s">
        <v>55</v>
      </c>
      <c r="F23" s="21" t="s">
        <v>56</v>
      </c>
      <c r="G23" s="21" t="s">
        <v>49</v>
      </c>
      <c r="H23" s="33" t="s">
        <v>36</v>
      </c>
      <c r="I23" s="21"/>
      <c r="J23" s="21"/>
      <c r="K23" s="21"/>
    </row>
    <row r="24" spans="1:11" ht="55.2" x14ac:dyDescent="0.25">
      <c r="A24" s="21"/>
      <c r="B24" s="1" t="s">
        <v>57</v>
      </c>
      <c r="C24" s="1" t="s">
        <v>58</v>
      </c>
      <c r="D24" s="1" t="s">
        <v>59</v>
      </c>
      <c r="E24" s="1" t="s">
        <v>60</v>
      </c>
      <c r="F24" s="34" t="s">
        <v>61</v>
      </c>
      <c r="G24" s="1" t="s">
        <v>62</v>
      </c>
      <c r="H24" s="33" t="s">
        <v>36</v>
      </c>
      <c r="I24" s="21" t="s">
        <v>36</v>
      </c>
      <c r="J24" s="21"/>
      <c r="K24" s="21"/>
    </row>
    <row r="25" spans="1:11" ht="55.2" x14ac:dyDescent="0.25">
      <c r="A25" s="21"/>
      <c r="B25" s="21" t="s">
        <v>63</v>
      </c>
      <c r="C25" s="21" t="s">
        <v>64</v>
      </c>
      <c r="D25" s="21"/>
      <c r="E25" s="21" t="s">
        <v>65</v>
      </c>
      <c r="F25" s="21"/>
      <c r="G25" s="21" t="s">
        <v>66</v>
      </c>
      <c r="H25" s="33" t="s">
        <v>36</v>
      </c>
      <c r="I25" s="21"/>
      <c r="J25" s="21"/>
      <c r="K25" s="21"/>
    </row>
    <row r="26" spans="1:11" ht="41.4" x14ac:dyDescent="0.25">
      <c r="A26" s="21"/>
      <c r="B26" s="21" t="s">
        <v>67</v>
      </c>
      <c r="C26" s="21" t="s">
        <v>68</v>
      </c>
      <c r="D26" s="21"/>
      <c r="E26" s="21" t="s">
        <v>39</v>
      </c>
      <c r="F26" s="21" t="s">
        <v>69</v>
      </c>
      <c r="G26" s="21" t="s">
        <v>70</v>
      </c>
      <c r="H26" s="33" t="s">
        <v>36</v>
      </c>
      <c r="I26" s="21"/>
      <c r="J26" s="21"/>
      <c r="K26" s="21"/>
    </row>
    <row r="27" spans="1:11" ht="55.2" x14ac:dyDescent="0.25">
      <c r="A27" s="21"/>
      <c r="B27" s="21" t="s">
        <v>71</v>
      </c>
      <c r="C27" s="21" t="s">
        <v>72</v>
      </c>
      <c r="D27" s="21"/>
      <c r="E27" s="21" t="s">
        <v>39</v>
      </c>
      <c r="F27" s="21" t="s">
        <v>73</v>
      </c>
      <c r="G27" s="21" t="s">
        <v>70</v>
      </c>
      <c r="H27" s="33" t="s">
        <v>36</v>
      </c>
      <c r="I27" s="21"/>
      <c r="J27" s="21"/>
      <c r="K27" s="21"/>
    </row>
    <row r="28" spans="1:11" ht="55.2" x14ac:dyDescent="0.25">
      <c r="A28" s="21"/>
      <c r="B28" s="21" t="s">
        <v>74</v>
      </c>
      <c r="C28" s="21" t="s">
        <v>72</v>
      </c>
      <c r="D28" s="21"/>
      <c r="E28" s="21" t="s">
        <v>39</v>
      </c>
      <c r="F28" s="21" t="s">
        <v>75</v>
      </c>
      <c r="G28" s="21" t="s">
        <v>70</v>
      </c>
      <c r="H28" s="33" t="s">
        <v>36</v>
      </c>
      <c r="I28" s="21"/>
      <c r="J28" s="21"/>
      <c r="K28" s="21"/>
    </row>
    <row r="29" spans="1:11" ht="41.4" x14ac:dyDescent="0.25">
      <c r="A29" s="21"/>
      <c r="B29" s="21" t="s">
        <v>76</v>
      </c>
      <c r="C29" s="21" t="s">
        <v>76</v>
      </c>
      <c r="D29" s="21"/>
      <c r="E29" s="21" t="s">
        <v>39</v>
      </c>
      <c r="F29" s="21" t="s">
        <v>77</v>
      </c>
      <c r="G29" s="21" t="s">
        <v>70</v>
      </c>
      <c r="H29" s="33" t="s">
        <v>36</v>
      </c>
      <c r="I29" s="21"/>
      <c r="J29" s="21"/>
      <c r="K29" s="21"/>
    </row>
    <row r="30" spans="1:11" ht="55.2" x14ac:dyDescent="0.25">
      <c r="A30" s="21"/>
      <c r="B30" s="21" t="s">
        <v>78</v>
      </c>
      <c r="C30" s="21" t="s">
        <v>79</v>
      </c>
      <c r="D30" s="21"/>
      <c r="E30" s="21" t="s">
        <v>39</v>
      </c>
      <c r="F30" s="21" t="s">
        <v>80</v>
      </c>
      <c r="G30" s="21" t="s">
        <v>35</v>
      </c>
      <c r="H30" s="33" t="s">
        <v>36</v>
      </c>
      <c r="I30" s="21"/>
      <c r="J30" s="21"/>
      <c r="K30" s="21"/>
    </row>
    <row r="31" spans="1:11" ht="55.2" x14ac:dyDescent="0.25">
      <c r="A31" s="21"/>
      <c r="B31" s="21" t="s">
        <v>78</v>
      </c>
      <c r="C31" s="21" t="s">
        <v>79</v>
      </c>
      <c r="D31" s="21"/>
      <c r="E31" s="21" t="s">
        <v>39</v>
      </c>
      <c r="F31" s="21" t="s">
        <v>81</v>
      </c>
      <c r="G31" s="21" t="s">
        <v>35</v>
      </c>
      <c r="H31" s="33" t="s">
        <v>36</v>
      </c>
      <c r="I31" s="21"/>
      <c r="J31" s="21"/>
      <c r="K31" s="21"/>
    </row>
    <row r="32" spans="1:11" ht="55.2" x14ac:dyDescent="0.25">
      <c r="A32" s="21"/>
      <c r="B32" s="21" t="s">
        <v>82</v>
      </c>
      <c r="C32" s="21" t="s">
        <v>83</v>
      </c>
      <c r="D32" s="21"/>
      <c r="E32" s="21" t="s">
        <v>39</v>
      </c>
      <c r="F32" s="21" t="s">
        <v>84</v>
      </c>
      <c r="G32" s="21" t="s">
        <v>35</v>
      </c>
      <c r="H32" s="33" t="s">
        <v>36</v>
      </c>
      <c r="I32" s="21"/>
      <c r="J32" s="21"/>
      <c r="K32" s="21"/>
    </row>
    <row r="33" spans="1:11" ht="55.2" x14ac:dyDescent="0.25">
      <c r="A33" s="21"/>
      <c r="B33" s="21" t="s">
        <v>85</v>
      </c>
      <c r="C33" s="21" t="s">
        <v>86</v>
      </c>
      <c r="D33" s="21"/>
      <c r="E33" s="21" t="s">
        <v>39</v>
      </c>
      <c r="F33" s="21" t="s">
        <v>87</v>
      </c>
      <c r="G33" s="21" t="s">
        <v>88</v>
      </c>
      <c r="H33" s="33" t="s">
        <v>36</v>
      </c>
      <c r="I33" s="21"/>
      <c r="J33" s="21"/>
      <c r="K33" s="21"/>
    </row>
    <row r="34" spans="1:11" ht="41.4" x14ac:dyDescent="0.25">
      <c r="A34" s="21"/>
      <c r="B34" s="21" t="s">
        <v>89</v>
      </c>
      <c r="C34" s="21" t="s">
        <v>90</v>
      </c>
      <c r="D34" s="21"/>
      <c r="E34" s="21" t="s">
        <v>91</v>
      </c>
      <c r="F34" s="21" t="s">
        <v>92</v>
      </c>
      <c r="G34" s="21" t="s">
        <v>93</v>
      </c>
      <c r="H34" s="33" t="s">
        <v>36</v>
      </c>
      <c r="I34" s="21"/>
      <c r="J34" s="21"/>
      <c r="K34" s="21"/>
    </row>
    <row r="35" spans="1:11" x14ac:dyDescent="0.25">
      <c r="B35" s="11"/>
      <c r="C35" s="11"/>
      <c r="E35" s="11"/>
      <c r="G35" s="11"/>
    </row>
    <row r="36" spans="1:11" x14ac:dyDescent="0.25">
      <c r="B36" s="11"/>
      <c r="C36" s="11"/>
      <c r="E36" s="11"/>
      <c r="G36" s="11"/>
    </row>
    <row r="37" spans="1:11" x14ac:dyDescent="0.25">
      <c r="B37" s="11"/>
      <c r="C37" s="11"/>
      <c r="E37" s="11"/>
      <c r="G37" s="11"/>
    </row>
    <row r="39" spans="1:11" x14ac:dyDescent="0.25">
      <c r="A39" s="73" t="s">
        <v>94</v>
      </c>
      <c r="B39" s="73"/>
      <c r="C39" s="73"/>
      <c r="D39" s="73"/>
      <c r="E39" s="73"/>
      <c r="F39" s="73"/>
      <c r="G39" s="73"/>
      <c r="H39" s="73"/>
      <c r="I39" s="73"/>
      <c r="J39" s="73"/>
      <c r="K39" s="73"/>
    </row>
    <row r="40" spans="1:11" ht="41.4" x14ac:dyDescent="0.25">
      <c r="A40" s="21"/>
      <c r="B40" s="21" t="s">
        <v>95</v>
      </c>
      <c r="C40" s="21" t="s">
        <v>96</v>
      </c>
      <c r="D40" s="21"/>
      <c r="E40" s="21" t="s">
        <v>97</v>
      </c>
      <c r="F40" s="21"/>
      <c r="G40" s="21" t="s">
        <v>98</v>
      </c>
      <c r="H40" s="33" t="s">
        <v>36</v>
      </c>
      <c r="I40" s="21"/>
      <c r="J40" s="21"/>
      <c r="K40" s="21"/>
    </row>
    <row r="41" spans="1:11" ht="82.8" x14ac:dyDescent="0.25">
      <c r="A41" s="21"/>
      <c r="B41" s="21" t="s">
        <v>99</v>
      </c>
      <c r="C41" s="21" t="s">
        <v>100</v>
      </c>
      <c r="D41" s="21"/>
      <c r="E41" s="21" t="s">
        <v>101</v>
      </c>
      <c r="F41" s="21" t="s">
        <v>102</v>
      </c>
      <c r="G41" s="21" t="s">
        <v>103</v>
      </c>
      <c r="H41" s="33" t="s">
        <v>36</v>
      </c>
      <c r="I41" s="21"/>
      <c r="J41" s="21"/>
      <c r="K41" s="21"/>
    </row>
    <row r="42" spans="1:11" ht="55.2" x14ac:dyDescent="0.25">
      <c r="A42" s="21"/>
      <c r="B42" s="21" t="s">
        <v>104</v>
      </c>
      <c r="C42" s="21" t="s">
        <v>105</v>
      </c>
      <c r="D42" s="21"/>
      <c r="E42" s="21" t="s">
        <v>106</v>
      </c>
      <c r="F42" s="21" t="s">
        <v>107</v>
      </c>
      <c r="G42" s="21" t="s">
        <v>108</v>
      </c>
      <c r="H42" s="33" t="s">
        <v>36</v>
      </c>
      <c r="I42" s="21"/>
      <c r="J42" s="21"/>
      <c r="K42" s="21"/>
    </row>
    <row r="43" spans="1:11" ht="55.2" x14ac:dyDescent="0.25">
      <c r="A43" s="21"/>
      <c r="B43" s="21" t="s">
        <v>109</v>
      </c>
      <c r="C43" s="21" t="s">
        <v>110</v>
      </c>
      <c r="D43" s="21"/>
      <c r="E43" s="21" t="s">
        <v>111</v>
      </c>
      <c r="F43" s="21" t="s">
        <v>112</v>
      </c>
      <c r="G43" s="21" t="s">
        <v>113</v>
      </c>
      <c r="H43" s="33" t="s">
        <v>36</v>
      </c>
      <c r="I43" s="21"/>
      <c r="J43" s="21"/>
      <c r="K43" s="21"/>
    </row>
    <row r="44" spans="1:11" ht="55.2" x14ac:dyDescent="0.25">
      <c r="A44" s="21"/>
      <c r="B44" s="21" t="s">
        <v>114</v>
      </c>
      <c r="C44" s="21" t="s">
        <v>115</v>
      </c>
      <c r="D44" s="21"/>
      <c r="E44" s="21" t="s">
        <v>116</v>
      </c>
      <c r="F44" s="21" t="s">
        <v>117</v>
      </c>
      <c r="G44" s="21" t="s">
        <v>108</v>
      </c>
      <c r="H44" s="33" t="s">
        <v>36</v>
      </c>
      <c r="I44" s="21"/>
      <c r="J44" s="21"/>
      <c r="K44" s="21"/>
    </row>
    <row r="45" spans="1:11" ht="55.2" x14ac:dyDescent="0.25">
      <c r="A45" s="21"/>
      <c r="B45" s="21" t="s">
        <v>118</v>
      </c>
      <c r="C45" s="21" t="s">
        <v>119</v>
      </c>
      <c r="D45" s="21"/>
      <c r="E45" s="21" t="s">
        <v>120</v>
      </c>
      <c r="F45" s="21" t="s">
        <v>121</v>
      </c>
      <c r="G45" s="21" t="s">
        <v>113</v>
      </c>
      <c r="H45" s="33" t="s">
        <v>36</v>
      </c>
      <c r="I45" s="21"/>
      <c r="J45" s="21"/>
      <c r="K45" s="21"/>
    </row>
    <row r="46" spans="1:11" ht="55.2" x14ac:dyDescent="0.25">
      <c r="A46" s="21"/>
      <c r="B46" s="21" t="s">
        <v>122</v>
      </c>
      <c r="C46" s="21" t="s">
        <v>123</v>
      </c>
      <c r="D46" s="21"/>
      <c r="E46" s="21" t="s">
        <v>124</v>
      </c>
      <c r="F46" s="21" t="s">
        <v>125</v>
      </c>
      <c r="G46" s="21" t="s">
        <v>108</v>
      </c>
      <c r="H46" s="33" t="s">
        <v>36</v>
      </c>
      <c r="I46" s="21"/>
      <c r="J46" s="21"/>
      <c r="K46" s="21"/>
    </row>
    <row r="47" spans="1:11" ht="55.2" x14ac:dyDescent="0.25">
      <c r="A47" s="21"/>
      <c r="B47" s="21" t="s">
        <v>126</v>
      </c>
      <c r="C47" s="21" t="s">
        <v>127</v>
      </c>
      <c r="D47" s="21"/>
      <c r="E47" s="21" t="s">
        <v>128</v>
      </c>
      <c r="F47" s="21" t="s">
        <v>129</v>
      </c>
      <c r="G47" s="21" t="s">
        <v>108</v>
      </c>
      <c r="H47" s="33" t="s">
        <v>36</v>
      </c>
      <c r="I47" s="21"/>
      <c r="J47" s="21"/>
      <c r="K47" s="21"/>
    </row>
    <row r="48" spans="1:11" ht="55.2" x14ac:dyDescent="0.25">
      <c r="A48" s="21"/>
      <c r="B48" s="21" t="s">
        <v>130</v>
      </c>
      <c r="C48" s="21" t="s">
        <v>131</v>
      </c>
      <c r="D48" s="21"/>
      <c r="E48" s="21" t="s">
        <v>132</v>
      </c>
      <c r="F48" s="21" t="s">
        <v>133</v>
      </c>
      <c r="G48" s="21" t="s">
        <v>134</v>
      </c>
      <c r="H48" s="33" t="s">
        <v>36</v>
      </c>
      <c r="I48" s="21"/>
      <c r="J48" s="21"/>
      <c r="K48" s="21"/>
    </row>
    <row r="49" spans="1:11" ht="69" x14ac:dyDescent="0.25">
      <c r="A49" s="21"/>
      <c r="B49" s="21" t="s">
        <v>135</v>
      </c>
      <c r="C49" s="21" t="s">
        <v>136</v>
      </c>
      <c r="D49" s="21"/>
      <c r="E49" s="21" t="s">
        <v>137</v>
      </c>
      <c r="F49" s="21" t="s">
        <v>138</v>
      </c>
      <c r="G49" s="21" t="s">
        <v>139</v>
      </c>
      <c r="H49" s="33" t="s">
        <v>36</v>
      </c>
      <c r="I49" s="21"/>
      <c r="J49" s="21"/>
      <c r="K49" s="21"/>
    </row>
    <row r="50" spans="1:11" ht="82.8" x14ac:dyDescent="0.25">
      <c r="A50" s="21"/>
      <c r="B50" s="21" t="s">
        <v>140</v>
      </c>
      <c r="C50" s="21" t="s">
        <v>141</v>
      </c>
      <c r="D50" s="21"/>
      <c r="E50" s="21" t="s">
        <v>142</v>
      </c>
      <c r="F50" s="21" t="s">
        <v>143</v>
      </c>
      <c r="G50" s="21" t="s">
        <v>144</v>
      </c>
      <c r="H50" s="33" t="s">
        <v>36</v>
      </c>
      <c r="I50" s="21"/>
      <c r="J50" s="21"/>
      <c r="K50" s="21"/>
    </row>
    <row r="51" spans="1:11" ht="69" x14ac:dyDescent="0.25">
      <c r="A51" s="21"/>
      <c r="B51" s="21" t="s">
        <v>145</v>
      </c>
      <c r="C51" s="21" t="s">
        <v>146</v>
      </c>
      <c r="D51" s="21"/>
      <c r="E51" s="21" t="s">
        <v>147</v>
      </c>
      <c r="F51" s="21" t="s">
        <v>148</v>
      </c>
      <c r="G51" s="21" t="s">
        <v>149</v>
      </c>
      <c r="H51" s="33" t="s">
        <v>36</v>
      </c>
      <c r="I51" s="21"/>
      <c r="J51" s="21"/>
      <c r="K51" s="21"/>
    </row>
    <row r="52" spans="1:11" ht="69" x14ac:dyDescent="0.25">
      <c r="A52" s="21"/>
      <c r="B52" s="21" t="s">
        <v>150</v>
      </c>
      <c r="C52" s="21" t="s">
        <v>151</v>
      </c>
      <c r="D52" s="21"/>
      <c r="E52" s="21" t="s">
        <v>152</v>
      </c>
      <c r="F52" s="21"/>
      <c r="G52" s="21" t="s">
        <v>153</v>
      </c>
      <c r="H52" s="33" t="s">
        <v>36</v>
      </c>
      <c r="I52" s="21"/>
      <c r="J52" s="21"/>
      <c r="K52" s="21"/>
    </row>
    <row r="53" spans="1:11" ht="69" x14ac:dyDescent="0.25">
      <c r="A53" s="21"/>
      <c r="B53" s="23" t="s">
        <v>154</v>
      </c>
      <c r="C53" s="21" t="s">
        <v>155</v>
      </c>
      <c r="D53" s="21"/>
      <c r="E53" s="21" t="s">
        <v>156</v>
      </c>
      <c r="F53" s="21" t="s">
        <v>157</v>
      </c>
      <c r="G53" s="21" t="s">
        <v>158</v>
      </c>
      <c r="H53" s="33" t="s">
        <v>36</v>
      </c>
      <c r="I53" s="21"/>
      <c r="J53" s="21"/>
      <c r="K53" s="21"/>
    </row>
    <row r="54" spans="1:11" ht="82.8" x14ac:dyDescent="0.25">
      <c r="A54" s="21"/>
      <c r="B54" s="21" t="s">
        <v>159</v>
      </c>
      <c r="C54" s="21" t="s">
        <v>160</v>
      </c>
      <c r="D54" s="21"/>
      <c r="E54" s="21" t="s">
        <v>161</v>
      </c>
      <c r="F54" s="21" t="s">
        <v>162</v>
      </c>
      <c r="G54" s="21" t="s">
        <v>158</v>
      </c>
      <c r="H54" s="33" t="s">
        <v>36</v>
      </c>
      <c r="I54" s="21"/>
      <c r="J54" s="21"/>
      <c r="K54" s="21"/>
    </row>
    <row r="55" spans="1:11" ht="69" x14ac:dyDescent="0.25">
      <c r="A55" s="21"/>
      <c r="B55" s="23" t="s">
        <v>163</v>
      </c>
      <c r="C55" s="23" t="s">
        <v>164</v>
      </c>
      <c r="D55" s="21"/>
      <c r="E55" s="23" t="s">
        <v>165</v>
      </c>
      <c r="F55" s="23" t="s">
        <v>166</v>
      </c>
      <c r="G55" s="23" t="s">
        <v>167</v>
      </c>
      <c r="H55" s="33" t="s">
        <v>36</v>
      </c>
      <c r="I55" s="21"/>
      <c r="J55" s="21"/>
      <c r="K55" s="21"/>
    </row>
    <row r="56" spans="1:11" ht="82.8" x14ac:dyDescent="0.25">
      <c r="A56" s="21"/>
      <c r="B56" s="21" t="s">
        <v>168</v>
      </c>
      <c r="C56" s="21" t="s">
        <v>169</v>
      </c>
      <c r="D56" s="21"/>
      <c r="E56" s="21" t="s">
        <v>170</v>
      </c>
      <c r="F56" s="21" t="s">
        <v>107</v>
      </c>
      <c r="G56" s="21" t="s">
        <v>171</v>
      </c>
      <c r="H56" s="33" t="s">
        <v>36</v>
      </c>
      <c r="I56" s="21"/>
      <c r="J56" s="21"/>
      <c r="K56" s="21"/>
    </row>
    <row r="57" spans="1:11" ht="82.8" x14ac:dyDescent="0.25">
      <c r="A57" s="21"/>
      <c r="B57" s="21" t="s">
        <v>172</v>
      </c>
      <c r="C57" s="21" t="s">
        <v>173</v>
      </c>
      <c r="D57" s="21"/>
      <c r="E57" s="21" t="s">
        <v>174</v>
      </c>
      <c r="F57" s="21" t="s">
        <v>175</v>
      </c>
      <c r="G57" s="21" t="s">
        <v>176</v>
      </c>
      <c r="H57" s="33" t="s">
        <v>36</v>
      </c>
      <c r="I57" s="21"/>
      <c r="J57" s="21"/>
      <c r="K57" s="21"/>
    </row>
    <row r="58" spans="1:11" ht="55.2" x14ac:dyDescent="0.25">
      <c r="A58" s="21"/>
      <c r="B58" s="21" t="s">
        <v>177</v>
      </c>
      <c r="C58" s="21" t="s">
        <v>178</v>
      </c>
      <c r="D58" s="21"/>
      <c r="E58" s="21" t="s">
        <v>179</v>
      </c>
      <c r="F58" s="21" t="s">
        <v>180</v>
      </c>
      <c r="G58" s="21" t="s">
        <v>176</v>
      </c>
      <c r="H58" s="33" t="s">
        <v>36</v>
      </c>
      <c r="I58" s="21"/>
      <c r="J58" s="21"/>
      <c r="K58" s="21"/>
    </row>
    <row r="59" spans="1:11" ht="55.2" x14ac:dyDescent="0.25">
      <c r="A59" s="21"/>
      <c r="B59" s="21" t="s">
        <v>181</v>
      </c>
      <c r="C59" s="21" t="s">
        <v>182</v>
      </c>
      <c r="D59" s="21"/>
      <c r="E59" s="21" t="s">
        <v>183</v>
      </c>
      <c r="F59" s="21" t="s">
        <v>184</v>
      </c>
      <c r="G59" s="21" t="s">
        <v>171</v>
      </c>
      <c r="H59" s="33" t="s">
        <v>36</v>
      </c>
      <c r="I59" s="21"/>
      <c r="J59" s="21"/>
      <c r="K59" s="21"/>
    </row>
    <row r="60" spans="1:11" ht="69" x14ac:dyDescent="0.25">
      <c r="A60" s="21"/>
      <c r="B60" s="21" t="s">
        <v>185</v>
      </c>
      <c r="C60" s="21" t="s">
        <v>186</v>
      </c>
      <c r="D60" s="21"/>
      <c r="E60" s="21" t="s">
        <v>187</v>
      </c>
      <c r="F60" s="21"/>
      <c r="G60" s="21" t="s">
        <v>188</v>
      </c>
      <c r="H60" s="33" t="s">
        <v>36</v>
      </c>
      <c r="I60" s="21"/>
      <c r="J60" s="21"/>
      <c r="K60" s="21"/>
    </row>
    <row r="61" spans="1:11" ht="52.5" customHeight="1" x14ac:dyDescent="0.25">
      <c r="B61" s="21" t="s">
        <v>189</v>
      </c>
      <c r="C61" s="21" t="s">
        <v>190</v>
      </c>
      <c r="D61" s="21"/>
      <c r="E61" s="21" t="s">
        <v>191</v>
      </c>
      <c r="F61" s="21" t="s">
        <v>192</v>
      </c>
      <c r="G61" s="21" t="s">
        <v>193</v>
      </c>
      <c r="H61" s="33" t="s">
        <v>36</v>
      </c>
    </row>
    <row r="62" spans="1:11" x14ac:dyDescent="0.25">
      <c r="B62" s="11"/>
      <c r="C62" s="11"/>
      <c r="E62" s="11"/>
      <c r="G62" s="11"/>
    </row>
    <row r="63" spans="1:11" x14ac:dyDescent="0.25">
      <c r="B63" s="11"/>
      <c r="C63" s="11"/>
      <c r="E63" s="11"/>
      <c r="G63" s="11"/>
    </row>
    <row r="64" spans="1:11" x14ac:dyDescent="0.25">
      <c r="B64" s="11"/>
      <c r="C64" s="11"/>
      <c r="E64" s="11"/>
      <c r="G64" s="11"/>
    </row>
    <row r="65" spans="1:11" x14ac:dyDescent="0.25">
      <c r="B65" s="11"/>
      <c r="C65" s="11"/>
      <c r="E65" s="11"/>
      <c r="G65" s="11"/>
    </row>
    <row r="66" spans="1:11" x14ac:dyDescent="0.25">
      <c r="B66" s="11"/>
      <c r="C66" s="11"/>
      <c r="E66" s="11"/>
      <c r="G66" s="11"/>
    </row>
    <row r="67" spans="1:11" x14ac:dyDescent="0.25">
      <c r="B67" s="11"/>
      <c r="C67" s="11"/>
      <c r="E67" s="11"/>
      <c r="G67" s="11"/>
    </row>
    <row r="68" spans="1:11" x14ac:dyDescent="0.25">
      <c r="B68" s="11"/>
      <c r="C68" s="11"/>
      <c r="E68" s="11"/>
      <c r="G68" s="11"/>
    </row>
    <row r="69" spans="1:11" x14ac:dyDescent="0.25">
      <c r="A69" s="75"/>
      <c r="B69" s="75"/>
      <c r="C69" s="75"/>
      <c r="D69" s="75"/>
      <c r="E69" s="75"/>
      <c r="F69" s="75"/>
      <c r="G69" s="75"/>
      <c r="H69" s="75"/>
      <c r="I69" s="75"/>
      <c r="J69" s="75"/>
      <c r="K69" s="75"/>
    </row>
    <row r="70" spans="1:11" x14ac:dyDescent="0.25">
      <c r="A70" s="59" t="s">
        <v>194</v>
      </c>
      <c r="B70" s="59"/>
      <c r="C70" s="59"/>
      <c r="D70" s="59"/>
      <c r="E70" s="59"/>
      <c r="F70" s="59"/>
      <c r="G70" s="59"/>
      <c r="H70" s="59"/>
      <c r="I70" s="59"/>
      <c r="J70" s="59"/>
      <c r="K70" s="59"/>
    </row>
    <row r="71" spans="1:11" ht="69" x14ac:dyDescent="0.25">
      <c r="A71" s="21"/>
      <c r="B71" s="21" t="s">
        <v>195</v>
      </c>
      <c r="C71" s="21" t="s">
        <v>196</v>
      </c>
      <c r="D71" s="21" t="s">
        <v>197</v>
      </c>
      <c r="E71" s="21" t="s">
        <v>198</v>
      </c>
      <c r="F71" s="21"/>
      <c r="G71" s="21" t="s">
        <v>199</v>
      </c>
      <c r="H71" s="33" t="s">
        <v>36</v>
      </c>
      <c r="I71" s="21"/>
      <c r="J71" s="21"/>
      <c r="K71" s="21"/>
    </row>
    <row r="72" spans="1:11" ht="55.2" x14ac:dyDescent="0.25">
      <c r="A72" s="21"/>
      <c r="B72" s="1" t="s">
        <v>200</v>
      </c>
      <c r="C72" s="1" t="s">
        <v>201</v>
      </c>
      <c r="E72" s="1" t="s">
        <v>202</v>
      </c>
      <c r="G72" s="1" t="s">
        <v>203</v>
      </c>
      <c r="H72" s="33" t="s">
        <v>36</v>
      </c>
      <c r="I72" s="24"/>
      <c r="J72" s="21"/>
      <c r="K72" s="21"/>
    </row>
    <row r="73" spans="1:11" ht="41.4" x14ac:dyDescent="0.25">
      <c r="A73" s="21"/>
      <c r="B73" s="21" t="s">
        <v>204</v>
      </c>
      <c r="C73" s="21" t="s">
        <v>205</v>
      </c>
      <c r="D73" s="21"/>
      <c r="E73" s="21" t="s">
        <v>206</v>
      </c>
      <c r="F73" s="21"/>
      <c r="G73" s="21" t="s">
        <v>207</v>
      </c>
      <c r="H73" s="33" t="s">
        <v>36</v>
      </c>
      <c r="I73" s="21"/>
      <c r="J73" s="21"/>
      <c r="K73" s="21"/>
    </row>
    <row r="74" spans="1:11" ht="41.4" x14ac:dyDescent="0.25">
      <c r="A74" s="21"/>
      <c r="B74" s="21" t="s">
        <v>208</v>
      </c>
      <c r="C74" s="21" t="s">
        <v>209</v>
      </c>
      <c r="D74" s="21"/>
      <c r="E74" s="21" t="s">
        <v>210</v>
      </c>
      <c r="F74" s="21" t="s">
        <v>211</v>
      </c>
      <c r="G74" s="21" t="s">
        <v>212</v>
      </c>
      <c r="H74" s="33" t="s">
        <v>36</v>
      </c>
      <c r="I74" s="21"/>
      <c r="J74" s="21"/>
      <c r="K74" s="21"/>
    </row>
    <row r="75" spans="1:11" ht="41.4" x14ac:dyDescent="0.25">
      <c r="A75" s="21"/>
      <c r="B75" s="21" t="s">
        <v>213</v>
      </c>
      <c r="C75" s="21" t="s">
        <v>214</v>
      </c>
      <c r="D75" s="21"/>
      <c r="E75" s="21" t="s">
        <v>215</v>
      </c>
      <c r="F75" s="29">
        <v>233563</v>
      </c>
      <c r="G75" s="21" t="s">
        <v>216</v>
      </c>
      <c r="H75" s="33" t="s">
        <v>36</v>
      </c>
      <c r="I75" s="21"/>
      <c r="J75" s="21"/>
      <c r="K75" s="21"/>
    </row>
    <row r="76" spans="1:11" ht="69" x14ac:dyDescent="0.25">
      <c r="A76" s="21"/>
      <c r="B76" s="21" t="s">
        <v>217</v>
      </c>
      <c r="C76" s="21" t="s">
        <v>218</v>
      </c>
      <c r="D76" s="21"/>
      <c r="E76" s="21" t="s">
        <v>219</v>
      </c>
      <c r="F76" s="21" t="s">
        <v>220</v>
      </c>
      <c r="G76" s="21" t="s">
        <v>221</v>
      </c>
      <c r="H76" s="33" t="s">
        <v>36</v>
      </c>
      <c r="I76" s="21"/>
      <c r="J76" s="21"/>
      <c r="K76" s="21"/>
    </row>
    <row r="77" spans="1:11" ht="41.4" x14ac:dyDescent="0.25">
      <c r="A77" s="21"/>
      <c r="B77" s="21" t="s">
        <v>222</v>
      </c>
      <c r="C77" s="21" t="s">
        <v>223</v>
      </c>
      <c r="D77" s="21"/>
      <c r="E77" s="21" t="s">
        <v>224</v>
      </c>
      <c r="F77" s="21" t="s">
        <v>225</v>
      </c>
      <c r="G77" s="21" t="s">
        <v>226</v>
      </c>
      <c r="H77" s="33" t="s">
        <v>36</v>
      </c>
      <c r="I77" s="21"/>
      <c r="J77" s="21"/>
      <c r="K77" s="21"/>
    </row>
    <row r="78" spans="1:11" ht="41.4" x14ac:dyDescent="0.25">
      <c r="A78" s="21"/>
      <c r="B78" s="21" t="s">
        <v>227</v>
      </c>
      <c r="C78" s="21" t="s">
        <v>228</v>
      </c>
      <c r="D78" s="21"/>
      <c r="E78" s="21" t="s">
        <v>224</v>
      </c>
      <c r="F78" s="21" t="s">
        <v>229</v>
      </c>
      <c r="G78" s="21" t="s">
        <v>226</v>
      </c>
      <c r="H78" s="33" t="s">
        <v>36</v>
      </c>
      <c r="I78" s="21"/>
      <c r="J78" s="21"/>
      <c r="K78" s="21"/>
    </row>
    <row r="79" spans="1:11" ht="41.4" x14ac:dyDescent="0.25">
      <c r="A79" s="21"/>
      <c r="B79" s="21" t="s">
        <v>230</v>
      </c>
      <c r="C79" s="21" t="s">
        <v>231</v>
      </c>
      <c r="D79" s="21"/>
      <c r="E79" s="21" t="s">
        <v>232</v>
      </c>
      <c r="F79" s="21" t="s">
        <v>233</v>
      </c>
      <c r="G79" s="21" t="s">
        <v>234</v>
      </c>
      <c r="H79" s="33" t="s">
        <v>36</v>
      </c>
      <c r="I79" s="21"/>
      <c r="J79" s="21"/>
      <c r="K79" s="21"/>
    </row>
    <row r="80" spans="1:11" ht="41.4" x14ac:dyDescent="0.25">
      <c r="A80" s="21"/>
      <c r="B80" s="21" t="s">
        <v>235</v>
      </c>
      <c r="C80" s="21" t="s">
        <v>236</v>
      </c>
      <c r="D80" s="21"/>
      <c r="E80" s="21" t="s">
        <v>237</v>
      </c>
      <c r="F80" s="21" t="s">
        <v>238</v>
      </c>
      <c r="G80" s="21" t="s">
        <v>239</v>
      </c>
      <c r="H80" s="33" t="s">
        <v>36</v>
      </c>
      <c r="I80" s="21"/>
      <c r="J80" s="21"/>
      <c r="K80" s="21"/>
    </row>
    <row r="81" spans="1:11" ht="41.4" x14ac:dyDescent="0.25">
      <c r="A81" s="21"/>
      <c r="B81" s="1" t="s">
        <v>240</v>
      </c>
      <c r="C81" s="1" t="s">
        <v>241</v>
      </c>
      <c r="E81" s="1" t="s">
        <v>242</v>
      </c>
      <c r="G81" s="1" t="s">
        <v>243</v>
      </c>
      <c r="H81" s="33" t="s">
        <v>36</v>
      </c>
      <c r="J81" s="21"/>
      <c r="K81" s="21"/>
    </row>
    <row r="82" spans="1:11" ht="41.4" x14ac:dyDescent="0.25">
      <c r="A82" s="21"/>
      <c r="B82" s="21" t="s">
        <v>244</v>
      </c>
      <c r="C82" s="21" t="s">
        <v>244</v>
      </c>
      <c r="D82" s="21"/>
      <c r="E82" s="21" t="s">
        <v>245</v>
      </c>
      <c r="F82" s="21"/>
      <c r="G82" s="21" t="s">
        <v>239</v>
      </c>
      <c r="H82" s="33" t="s">
        <v>36</v>
      </c>
      <c r="I82" s="21"/>
      <c r="J82" s="21"/>
      <c r="K82" s="21"/>
    </row>
    <row r="83" spans="1:11" ht="41.4" x14ac:dyDescent="0.25">
      <c r="A83" s="21"/>
      <c r="B83" s="21" t="s">
        <v>246</v>
      </c>
      <c r="C83" s="21" t="s">
        <v>247</v>
      </c>
      <c r="D83" s="21"/>
      <c r="E83" s="21" t="s">
        <v>248</v>
      </c>
      <c r="F83" s="21"/>
      <c r="G83" s="21" t="s">
        <v>249</v>
      </c>
      <c r="H83" s="33" t="s">
        <v>36</v>
      </c>
      <c r="I83" s="21"/>
      <c r="J83" s="21"/>
      <c r="K83" s="21"/>
    </row>
    <row r="84" spans="1:11" ht="41.4" x14ac:dyDescent="0.25">
      <c r="A84" s="21"/>
      <c r="B84" s="21" t="s">
        <v>250</v>
      </c>
      <c r="C84" s="21" t="s">
        <v>250</v>
      </c>
      <c r="D84" s="21"/>
      <c r="E84" s="21" t="s">
        <v>251</v>
      </c>
      <c r="F84" s="21" t="s">
        <v>252</v>
      </c>
      <c r="G84" s="21" t="s">
        <v>253</v>
      </c>
      <c r="H84" s="33" t="s">
        <v>36</v>
      </c>
      <c r="I84" s="21"/>
      <c r="J84" s="21"/>
      <c r="K84" s="21"/>
    </row>
    <row r="85" spans="1:11" ht="41.4" x14ac:dyDescent="0.25">
      <c r="A85" s="21"/>
      <c r="B85" s="21" t="s">
        <v>254</v>
      </c>
      <c r="C85" s="21" t="s">
        <v>254</v>
      </c>
      <c r="D85" s="21"/>
      <c r="E85" s="21" t="s">
        <v>255</v>
      </c>
      <c r="F85" s="25" t="s">
        <v>256</v>
      </c>
      <c r="G85" s="21" t="s">
        <v>257</v>
      </c>
      <c r="H85" s="33" t="s">
        <v>36</v>
      </c>
      <c r="I85" s="21"/>
      <c r="J85" s="21"/>
      <c r="K85" s="21"/>
    </row>
    <row r="86" spans="1:11" ht="41.4" x14ac:dyDescent="0.25">
      <c r="A86" s="21"/>
      <c r="B86" s="21" t="s">
        <v>258</v>
      </c>
      <c r="C86" s="21" t="s">
        <v>258</v>
      </c>
      <c r="D86" s="21"/>
      <c r="E86" s="21" t="s">
        <v>255</v>
      </c>
      <c r="F86" s="25" t="s">
        <v>259</v>
      </c>
      <c r="G86" s="21" t="s">
        <v>257</v>
      </c>
      <c r="H86" s="33" t="s">
        <v>36</v>
      </c>
      <c r="I86" s="21"/>
      <c r="J86" s="21"/>
      <c r="K86" s="21"/>
    </row>
    <row r="87" spans="1:11" ht="41.4" x14ac:dyDescent="0.25">
      <c r="A87" s="21"/>
      <c r="B87" s="21" t="s">
        <v>260</v>
      </c>
      <c r="C87" s="21" t="s">
        <v>260</v>
      </c>
      <c r="D87" s="21"/>
      <c r="E87" s="21" t="s">
        <v>255</v>
      </c>
      <c r="F87" s="25" t="s">
        <v>261</v>
      </c>
      <c r="G87" s="21" t="s">
        <v>262</v>
      </c>
      <c r="H87" s="33" t="s">
        <v>36</v>
      </c>
      <c r="I87" s="21"/>
      <c r="J87" s="21"/>
      <c r="K87" s="21"/>
    </row>
    <row r="88" spans="1:11" ht="41.4" x14ac:dyDescent="0.25">
      <c r="A88" s="21"/>
      <c r="B88" s="21" t="s">
        <v>263</v>
      </c>
      <c r="C88" s="21" t="s">
        <v>264</v>
      </c>
      <c r="D88" s="21"/>
      <c r="E88" s="21" t="s">
        <v>255</v>
      </c>
      <c r="F88" s="21" t="s">
        <v>265</v>
      </c>
      <c r="G88" s="21" t="s">
        <v>266</v>
      </c>
      <c r="H88" s="33" t="s">
        <v>36</v>
      </c>
      <c r="I88" s="21"/>
      <c r="J88" s="21"/>
      <c r="K88" s="21"/>
    </row>
    <row r="89" spans="1:11" x14ac:dyDescent="0.25">
      <c r="A89" s="21"/>
      <c r="B89" s="21"/>
      <c r="C89" s="21"/>
      <c r="D89" s="21"/>
      <c r="E89" s="21"/>
      <c r="F89" s="21"/>
      <c r="G89" s="21"/>
      <c r="H89" s="21"/>
      <c r="I89" s="21"/>
      <c r="J89" s="21"/>
      <c r="K89" s="21"/>
    </row>
    <row r="90" spans="1:11" ht="55.2" x14ac:dyDescent="0.25">
      <c r="A90" s="21"/>
      <c r="B90" s="23" t="s">
        <v>267</v>
      </c>
      <c r="C90" s="21" t="s">
        <v>268</v>
      </c>
      <c r="D90" s="26"/>
      <c r="E90" s="21" t="s">
        <v>269</v>
      </c>
      <c r="F90" s="22" t="s">
        <v>270</v>
      </c>
      <c r="G90" s="21" t="s">
        <v>271</v>
      </c>
      <c r="H90" s="33" t="s">
        <v>36</v>
      </c>
      <c r="I90" s="21"/>
      <c r="J90" s="21"/>
      <c r="K90" s="21"/>
    </row>
    <row r="91" spans="1:11" ht="41.4" x14ac:dyDescent="0.25">
      <c r="A91" s="21"/>
      <c r="B91" s="23" t="s">
        <v>272</v>
      </c>
      <c r="C91" s="21" t="s">
        <v>273</v>
      </c>
      <c r="D91" s="21"/>
      <c r="E91" s="23" t="s">
        <v>274</v>
      </c>
      <c r="F91" s="22" t="s">
        <v>275</v>
      </c>
      <c r="G91" s="21" t="s">
        <v>276</v>
      </c>
      <c r="H91" s="33" t="s">
        <v>36</v>
      </c>
      <c r="I91" s="21"/>
      <c r="J91" s="21"/>
      <c r="K91" s="21"/>
    </row>
    <row r="92" spans="1:11" ht="41.4" x14ac:dyDescent="0.25">
      <c r="A92" s="21"/>
      <c r="B92" s="23" t="s">
        <v>277</v>
      </c>
      <c r="C92" s="21" t="s">
        <v>278</v>
      </c>
      <c r="D92" s="21"/>
      <c r="E92" s="23" t="s">
        <v>279</v>
      </c>
      <c r="F92" s="22" t="s">
        <v>280</v>
      </c>
      <c r="G92" s="21" t="s">
        <v>276</v>
      </c>
      <c r="H92" s="33" t="s">
        <v>36</v>
      </c>
      <c r="I92" s="21"/>
      <c r="J92" s="21"/>
      <c r="K92" s="21"/>
    </row>
    <row r="93" spans="1:11" ht="41.4" x14ac:dyDescent="0.25">
      <c r="A93" s="21"/>
      <c r="B93" s="23" t="s">
        <v>281</v>
      </c>
      <c r="C93" s="21" t="s">
        <v>282</v>
      </c>
      <c r="D93" s="21"/>
      <c r="E93" s="23" t="s">
        <v>283</v>
      </c>
      <c r="F93" s="23" t="s">
        <v>284</v>
      </c>
      <c r="G93" s="21" t="s">
        <v>276</v>
      </c>
      <c r="H93" s="33" t="s">
        <v>36</v>
      </c>
      <c r="I93" s="21"/>
      <c r="J93" s="21"/>
      <c r="K93" s="21"/>
    </row>
    <row r="94" spans="1:11" ht="41.4" x14ac:dyDescent="0.25">
      <c r="A94" s="21"/>
      <c r="B94" s="30" t="s">
        <v>285</v>
      </c>
      <c r="C94" s="1" t="s">
        <v>286</v>
      </c>
      <c r="D94" s="1" t="s">
        <v>287</v>
      </c>
      <c r="E94" s="1" t="s">
        <v>288</v>
      </c>
      <c r="F94" s="31" t="s">
        <v>289</v>
      </c>
      <c r="G94" s="1" t="s">
        <v>290</v>
      </c>
      <c r="H94" s="33" t="s">
        <v>36</v>
      </c>
      <c r="I94" s="21"/>
      <c r="J94" s="21"/>
      <c r="K94" s="21"/>
    </row>
    <row r="95" spans="1:11" ht="41.4" x14ac:dyDescent="0.25">
      <c r="A95" s="21"/>
      <c r="B95" s="23" t="s">
        <v>291</v>
      </c>
      <c r="C95" s="23" t="s">
        <v>292</v>
      </c>
      <c r="D95" s="21"/>
      <c r="E95" s="23" t="s">
        <v>293</v>
      </c>
      <c r="F95" s="27" t="s">
        <v>294</v>
      </c>
      <c r="G95" s="21" t="s">
        <v>276</v>
      </c>
      <c r="H95" s="33" t="s">
        <v>36</v>
      </c>
      <c r="I95" s="21"/>
      <c r="J95" s="21"/>
      <c r="K95" s="21"/>
    </row>
    <row r="96" spans="1:11" ht="41.4" x14ac:dyDescent="0.25">
      <c r="A96" s="21"/>
      <c r="B96" s="23" t="s">
        <v>295</v>
      </c>
      <c r="C96" s="23" t="s">
        <v>296</v>
      </c>
      <c r="D96" s="21"/>
      <c r="E96" s="23" t="s">
        <v>293</v>
      </c>
      <c r="F96" s="22" t="s">
        <v>297</v>
      </c>
      <c r="G96" s="21" t="s">
        <v>276</v>
      </c>
      <c r="H96" s="33" t="s">
        <v>36</v>
      </c>
      <c r="I96" s="21"/>
      <c r="J96" s="21"/>
      <c r="K96" s="21"/>
    </row>
    <row r="97" spans="1:11" ht="41.4" x14ac:dyDescent="0.25">
      <c r="A97" s="21"/>
      <c r="B97" s="23" t="s">
        <v>298</v>
      </c>
      <c r="C97" s="23" t="s">
        <v>299</v>
      </c>
      <c r="D97" s="21"/>
      <c r="E97" s="23" t="s">
        <v>293</v>
      </c>
      <c r="F97" s="22" t="s">
        <v>300</v>
      </c>
      <c r="G97" s="21" t="s">
        <v>276</v>
      </c>
      <c r="H97" s="33" t="s">
        <v>36</v>
      </c>
      <c r="I97" s="21"/>
      <c r="J97" s="21"/>
      <c r="K97" s="21"/>
    </row>
    <row r="98" spans="1:11" ht="41.4" x14ac:dyDescent="0.25">
      <c r="A98" s="21"/>
      <c r="B98" s="23" t="s">
        <v>301</v>
      </c>
      <c r="C98" s="23" t="s">
        <v>302</v>
      </c>
      <c r="D98" s="21"/>
      <c r="E98" s="23" t="s">
        <v>293</v>
      </c>
      <c r="F98" s="27" t="s">
        <v>303</v>
      </c>
      <c r="G98" s="21" t="s">
        <v>276</v>
      </c>
      <c r="H98" s="33" t="s">
        <v>36</v>
      </c>
      <c r="I98" s="21"/>
      <c r="J98" s="21"/>
      <c r="K98" s="21"/>
    </row>
    <row r="99" spans="1:11" ht="69" x14ac:dyDescent="0.25">
      <c r="A99" s="21"/>
      <c r="B99" s="23" t="s">
        <v>304</v>
      </c>
      <c r="C99" s="21" t="s">
        <v>305</v>
      </c>
      <c r="D99" s="21"/>
      <c r="E99" s="21" t="s">
        <v>306</v>
      </c>
      <c r="F99" s="21"/>
      <c r="G99" s="21" t="s">
        <v>307</v>
      </c>
      <c r="H99" s="33" t="s">
        <v>36</v>
      </c>
      <c r="I99" s="21"/>
      <c r="J99" s="21"/>
      <c r="K99" s="21"/>
    </row>
    <row r="100" spans="1:11" ht="69" x14ac:dyDescent="0.25">
      <c r="A100" s="21"/>
      <c r="B100" s="23" t="s">
        <v>308</v>
      </c>
      <c r="C100" s="21" t="s">
        <v>308</v>
      </c>
      <c r="D100" s="21"/>
      <c r="E100" s="21" t="s">
        <v>309</v>
      </c>
      <c r="F100" s="21" t="s">
        <v>310</v>
      </c>
      <c r="G100" s="21" t="s">
        <v>311</v>
      </c>
      <c r="H100" s="33" t="s">
        <v>36</v>
      </c>
      <c r="I100" s="21"/>
      <c r="J100" s="21"/>
      <c r="K100" s="21"/>
    </row>
    <row r="101" spans="1:11" x14ac:dyDescent="0.25">
      <c r="A101" s="21"/>
      <c r="B101" s="21"/>
      <c r="C101" s="21"/>
      <c r="D101" s="21"/>
      <c r="E101" s="21"/>
      <c r="F101" s="21"/>
      <c r="G101" s="21"/>
      <c r="H101" s="21"/>
      <c r="I101" s="21"/>
      <c r="J101" s="21"/>
      <c r="K101" s="21"/>
    </row>
    <row r="102" spans="1:11" x14ac:dyDescent="0.25">
      <c r="A102" s="21"/>
      <c r="B102" s="21"/>
      <c r="C102" s="21"/>
      <c r="D102" s="21"/>
      <c r="E102" s="21"/>
      <c r="F102" s="21"/>
      <c r="G102" s="21"/>
      <c r="H102" s="21"/>
      <c r="I102" s="21"/>
      <c r="J102" s="21"/>
      <c r="K102" s="21"/>
    </row>
    <row r="103" spans="1:11" x14ac:dyDescent="0.25">
      <c r="A103" s="21"/>
      <c r="B103" s="21"/>
      <c r="C103" s="21"/>
      <c r="D103" s="21"/>
      <c r="E103" s="21"/>
      <c r="F103" s="21"/>
      <c r="G103" s="23"/>
      <c r="H103" s="21"/>
      <c r="I103" s="21"/>
      <c r="J103" s="21"/>
      <c r="K103" s="21"/>
    </row>
    <row r="104" spans="1:11" ht="41.4" x14ac:dyDescent="0.25">
      <c r="A104" s="21"/>
      <c r="B104" s="23" t="s">
        <v>312</v>
      </c>
      <c r="C104" s="23" t="s">
        <v>313</v>
      </c>
      <c r="D104" s="28" t="s">
        <v>314</v>
      </c>
      <c r="E104" s="23" t="s">
        <v>315</v>
      </c>
      <c r="F104" s="23" t="s">
        <v>316</v>
      </c>
      <c r="G104" s="23" t="s">
        <v>317</v>
      </c>
      <c r="H104" s="33" t="s">
        <v>36</v>
      </c>
      <c r="I104" s="21"/>
      <c r="J104" s="21"/>
      <c r="K104" s="21"/>
    </row>
    <row r="105" spans="1:11" ht="41.4" x14ac:dyDescent="0.25">
      <c r="A105" s="21"/>
      <c r="B105" s="23" t="s">
        <v>318</v>
      </c>
      <c r="C105" s="23" t="s">
        <v>319</v>
      </c>
      <c r="D105" s="28" t="s">
        <v>314</v>
      </c>
      <c r="E105" s="23" t="s">
        <v>320</v>
      </c>
      <c r="F105" s="23" t="s">
        <v>321</v>
      </c>
      <c r="G105" s="23" t="s">
        <v>322</v>
      </c>
      <c r="H105" s="33" t="s">
        <v>36</v>
      </c>
      <c r="I105" s="21"/>
      <c r="J105" s="21"/>
      <c r="K105" s="21"/>
    </row>
    <row r="106" spans="1:11" ht="41.4" x14ac:dyDescent="0.25">
      <c r="A106" s="21"/>
      <c r="B106" s="23" t="s">
        <v>323</v>
      </c>
      <c r="C106" s="23" t="s">
        <v>324</v>
      </c>
      <c r="D106" s="28" t="s">
        <v>314</v>
      </c>
      <c r="E106" s="23" t="s">
        <v>320</v>
      </c>
      <c r="F106" s="23" t="s">
        <v>325</v>
      </c>
      <c r="G106" s="23" t="s">
        <v>322</v>
      </c>
      <c r="H106" s="33" t="s">
        <v>36</v>
      </c>
      <c r="I106" s="21"/>
      <c r="J106" s="21"/>
      <c r="K106" s="21"/>
    </row>
    <row r="107" spans="1:11" ht="41.4" x14ac:dyDescent="0.25">
      <c r="A107" s="21"/>
      <c r="B107" s="23" t="s">
        <v>326</v>
      </c>
      <c r="C107" s="23" t="s">
        <v>313</v>
      </c>
      <c r="D107" s="28" t="s">
        <v>314</v>
      </c>
      <c r="E107" s="23" t="s">
        <v>320</v>
      </c>
      <c r="F107" s="28" t="s">
        <v>327</v>
      </c>
      <c r="G107" s="23" t="s">
        <v>322</v>
      </c>
      <c r="H107" s="33" t="s">
        <v>36</v>
      </c>
      <c r="I107" s="21"/>
      <c r="J107" s="21"/>
      <c r="K107" s="21"/>
    </row>
    <row r="108" spans="1:11" ht="41.4" x14ac:dyDescent="0.25">
      <c r="A108" s="21"/>
      <c r="B108" s="23" t="s">
        <v>328</v>
      </c>
      <c r="C108" s="23" t="s">
        <v>313</v>
      </c>
      <c r="D108" s="28" t="s">
        <v>314</v>
      </c>
      <c r="E108" s="23" t="s">
        <v>320</v>
      </c>
      <c r="F108" s="28" t="s">
        <v>329</v>
      </c>
      <c r="G108" s="23" t="s">
        <v>322</v>
      </c>
      <c r="H108" s="33" t="s">
        <v>36</v>
      </c>
      <c r="I108" s="21"/>
      <c r="J108" s="21"/>
      <c r="K108" s="21"/>
    </row>
    <row r="109" spans="1:11" ht="41.4" x14ac:dyDescent="0.25">
      <c r="A109" s="21"/>
      <c r="B109" s="23" t="s">
        <v>330</v>
      </c>
      <c r="C109" s="23" t="s">
        <v>330</v>
      </c>
      <c r="D109" s="21"/>
      <c r="E109" s="23" t="s">
        <v>320</v>
      </c>
      <c r="F109" s="23" t="s">
        <v>331</v>
      </c>
      <c r="G109" s="23" t="s">
        <v>322</v>
      </c>
      <c r="H109" s="33" t="s">
        <v>36</v>
      </c>
      <c r="I109" s="21"/>
      <c r="J109" s="21"/>
      <c r="K109" s="21"/>
    </row>
    <row r="110" spans="1:11" ht="41.4" x14ac:dyDescent="0.25">
      <c r="A110" s="21"/>
      <c r="B110" s="23" t="s">
        <v>332</v>
      </c>
      <c r="C110" s="23" t="s">
        <v>333</v>
      </c>
      <c r="D110" s="21"/>
      <c r="E110" s="23" t="s">
        <v>320</v>
      </c>
      <c r="F110" s="23" t="s">
        <v>334</v>
      </c>
      <c r="G110" s="23" t="s">
        <v>322</v>
      </c>
      <c r="H110" s="33" t="s">
        <v>36</v>
      </c>
      <c r="I110" s="21"/>
      <c r="J110" s="21"/>
      <c r="K110" s="21"/>
    </row>
    <row r="111" spans="1:11" ht="41.4" x14ac:dyDescent="0.25">
      <c r="A111" s="21"/>
      <c r="B111" s="23" t="s">
        <v>335</v>
      </c>
      <c r="C111" s="23" t="s">
        <v>335</v>
      </c>
      <c r="D111" s="21"/>
      <c r="E111" s="23" t="s">
        <v>320</v>
      </c>
      <c r="F111" s="23" t="s">
        <v>336</v>
      </c>
      <c r="G111" s="23" t="s">
        <v>322</v>
      </c>
      <c r="H111" s="33" t="s">
        <v>36</v>
      </c>
      <c r="I111" s="21"/>
      <c r="J111" s="21"/>
      <c r="K111" s="21"/>
    </row>
    <row r="112" spans="1:11" ht="41.4" x14ac:dyDescent="0.25">
      <c r="A112" s="21"/>
      <c r="B112" s="23" t="s">
        <v>337</v>
      </c>
      <c r="C112" s="23" t="s">
        <v>337</v>
      </c>
      <c r="D112" s="21"/>
      <c r="E112" s="23" t="s">
        <v>320</v>
      </c>
      <c r="F112" s="23" t="s">
        <v>338</v>
      </c>
      <c r="G112" s="23" t="s">
        <v>322</v>
      </c>
      <c r="H112" s="33" t="s">
        <v>36</v>
      </c>
      <c r="I112" s="21"/>
      <c r="J112" s="21"/>
      <c r="K112" s="21"/>
    </row>
    <row r="113" spans="1:11" ht="41.4" x14ac:dyDescent="0.25">
      <c r="A113" s="21"/>
      <c r="B113" s="23" t="s">
        <v>339</v>
      </c>
      <c r="C113" s="23" t="s">
        <v>340</v>
      </c>
      <c r="D113" s="21"/>
      <c r="E113" s="23" t="s">
        <v>320</v>
      </c>
      <c r="F113" s="23" t="s">
        <v>341</v>
      </c>
      <c r="G113" s="23" t="s">
        <v>322</v>
      </c>
      <c r="H113" s="33" t="s">
        <v>36</v>
      </c>
      <c r="I113" s="21"/>
      <c r="J113" s="21"/>
      <c r="K113" s="21"/>
    </row>
    <row r="114" spans="1:11" ht="41.4" x14ac:dyDescent="0.25">
      <c r="A114" s="21"/>
      <c r="B114" s="23" t="s">
        <v>342</v>
      </c>
      <c r="C114" s="23" t="s">
        <v>342</v>
      </c>
      <c r="D114" s="21"/>
      <c r="E114" s="23" t="s">
        <v>320</v>
      </c>
      <c r="F114" s="23" t="s">
        <v>343</v>
      </c>
      <c r="G114" s="23" t="s">
        <v>322</v>
      </c>
      <c r="H114" s="33" t="s">
        <v>36</v>
      </c>
      <c r="I114" s="21"/>
      <c r="J114" s="21"/>
      <c r="K114" s="21"/>
    </row>
    <row r="115" spans="1:11" ht="41.4" x14ac:dyDescent="0.25">
      <c r="A115" s="21"/>
      <c r="B115" s="23" t="s">
        <v>344</v>
      </c>
      <c r="C115" s="23" t="s">
        <v>344</v>
      </c>
      <c r="D115" s="21"/>
      <c r="E115" s="23" t="s">
        <v>320</v>
      </c>
      <c r="F115" s="23" t="s">
        <v>345</v>
      </c>
      <c r="G115" s="23" t="s">
        <v>322</v>
      </c>
      <c r="H115" s="33" t="s">
        <v>36</v>
      </c>
      <c r="I115" s="21"/>
      <c r="J115" s="21"/>
      <c r="K115" s="21"/>
    </row>
    <row r="116" spans="1:11" ht="41.4" x14ac:dyDescent="0.25">
      <c r="A116" s="21"/>
      <c r="B116" s="30" t="s">
        <v>346</v>
      </c>
      <c r="C116" s="30" t="s">
        <v>347</v>
      </c>
      <c r="E116" s="30" t="s">
        <v>320</v>
      </c>
      <c r="F116" s="30" t="s">
        <v>348</v>
      </c>
      <c r="G116" s="30" t="s">
        <v>349</v>
      </c>
      <c r="H116" s="35" t="s">
        <v>36</v>
      </c>
      <c r="I116" s="21"/>
      <c r="J116" s="21"/>
      <c r="K116" s="21"/>
    </row>
    <row r="117" spans="1:11" ht="41.4" x14ac:dyDescent="0.25">
      <c r="A117" s="21"/>
      <c r="B117" s="23" t="s">
        <v>350</v>
      </c>
      <c r="C117" s="23" t="s">
        <v>350</v>
      </c>
      <c r="D117" s="21"/>
      <c r="E117" s="23" t="s">
        <v>320</v>
      </c>
      <c r="F117" s="23" t="s">
        <v>351</v>
      </c>
      <c r="G117" s="23" t="s">
        <v>349</v>
      </c>
      <c r="H117" s="35" t="s">
        <v>36</v>
      </c>
      <c r="I117" s="21"/>
      <c r="J117" s="21"/>
      <c r="K117" s="21"/>
    </row>
    <row r="118" spans="1:11" x14ac:dyDescent="0.25">
      <c r="A118" s="21"/>
      <c r="B118" s="21"/>
      <c r="C118" s="21"/>
      <c r="D118" s="21"/>
      <c r="E118" s="21"/>
      <c r="F118" s="21"/>
      <c r="G118" s="21"/>
      <c r="H118" s="21"/>
      <c r="I118" s="21"/>
      <c r="J118" s="21"/>
      <c r="K118" s="21"/>
    </row>
    <row r="119" spans="1:11" ht="82.8" x14ac:dyDescent="0.25">
      <c r="A119" s="21"/>
      <c r="B119" s="23" t="s">
        <v>352</v>
      </c>
      <c r="C119" s="21" t="s">
        <v>353</v>
      </c>
      <c r="D119" s="21"/>
      <c r="E119" s="21" t="s">
        <v>354</v>
      </c>
      <c r="F119" s="23">
        <v>1264647884</v>
      </c>
      <c r="G119" s="21" t="s">
        <v>355</v>
      </c>
      <c r="H119" s="35" t="s">
        <v>36</v>
      </c>
      <c r="I119" s="21"/>
      <c r="J119" s="21"/>
      <c r="K119" s="21"/>
    </row>
    <row r="120" spans="1:11" ht="55.2" x14ac:dyDescent="0.25">
      <c r="A120" s="21"/>
      <c r="B120" s="30" t="s">
        <v>356</v>
      </c>
      <c r="C120" s="30" t="s">
        <v>357</v>
      </c>
      <c r="E120" s="30" t="s">
        <v>320</v>
      </c>
      <c r="F120" s="30" t="s">
        <v>358</v>
      </c>
      <c r="G120" s="1" t="s">
        <v>359</v>
      </c>
      <c r="H120" s="35" t="s">
        <v>36</v>
      </c>
      <c r="I120" s="21"/>
      <c r="J120" s="21"/>
      <c r="K120" s="21"/>
    </row>
    <row r="121" spans="1:11" ht="55.2" x14ac:dyDescent="0.25">
      <c r="A121" s="21"/>
      <c r="B121" s="23" t="s">
        <v>360</v>
      </c>
      <c r="C121" s="23" t="s">
        <v>357</v>
      </c>
      <c r="D121" s="21"/>
      <c r="E121" s="23" t="s">
        <v>320</v>
      </c>
      <c r="F121" s="23" t="s">
        <v>361</v>
      </c>
      <c r="G121" s="21" t="s">
        <v>359</v>
      </c>
      <c r="H121" s="35" t="s">
        <v>36</v>
      </c>
      <c r="I121" s="21"/>
      <c r="J121" s="21"/>
      <c r="K121" s="21"/>
    </row>
    <row r="122" spans="1:11" ht="55.2" x14ac:dyDescent="0.25">
      <c r="A122" s="21"/>
      <c r="B122" s="23" t="s">
        <v>362</v>
      </c>
      <c r="C122" s="23" t="s">
        <v>357</v>
      </c>
      <c r="D122" s="21"/>
      <c r="E122" s="23" t="s">
        <v>320</v>
      </c>
      <c r="F122" s="23" t="s">
        <v>363</v>
      </c>
      <c r="G122" s="21" t="s">
        <v>359</v>
      </c>
      <c r="H122" s="35" t="s">
        <v>36</v>
      </c>
      <c r="I122" s="21"/>
      <c r="J122" s="21"/>
      <c r="K122" s="21"/>
    </row>
    <row r="123" spans="1:11" ht="55.2" x14ac:dyDescent="0.25">
      <c r="A123" s="21"/>
      <c r="B123" s="23" t="s">
        <v>364</v>
      </c>
      <c r="C123" s="23" t="s">
        <v>357</v>
      </c>
      <c r="D123" s="21"/>
      <c r="E123" s="23" t="s">
        <v>320</v>
      </c>
      <c r="F123" s="23" t="s">
        <v>365</v>
      </c>
      <c r="G123" s="21" t="s">
        <v>359</v>
      </c>
      <c r="H123" s="35" t="s">
        <v>36</v>
      </c>
      <c r="I123" s="21"/>
      <c r="J123" s="21"/>
      <c r="K123" s="21"/>
    </row>
    <row r="124" spans="1:11" ht="55.2" x14ac:dyDescent="0.25">
      <c r="A124" s="21"/>
      <c r="B124" s="23" t="s">
        <v>366</v>
      </c>
      <c r="C124" s="23" t="s">
        <v>357</v>
      </c>
      <c r="D124" s="21"/>
      <c r="E124" s="23" t="s">
        <v>320</v>
      </c>
      <c r="F124" s="23" t="s">
        <v>367</v>
      </c>
      <c r="G124" s="21" t="s">
        <v>359</v>
      </c>
      <c r="H124" s="35" t="s">
        <v>36</v>
      </c>
      <c r="I124" s="21"/>
      <c r="J124" s="21"/>
      <c r="K124" s="21"/>
    </row>
    <row r="125" spans="1:11" ht="55.2" x14ac:dyDescent="0.25">
      <c r="A125" s="21"/>
      <c r="B125" s="23" t="s">
        <v>368</v>
      </c>
      <c r="C125" s="23" t="s">
        <v>369</v>
      </c>
      <c r="D125" s="21"/>
      <c r="E125" s="23" t="s">
        <v>320</v>
      </c>
      <c r="F125" s="21"/>
      <c r="G125" s="23" t="s">
        <v>370</v>
      </c>
      <c r="H125" s="35" t="s">
        <v>36</v>
      </c>
      <c r="I125" s="21"/>
      <c r="J125" s="21"/>
      <c r="K125" s="21"/>
    </row>
    <row r="126" spans="1:11" ht="55.2" x14ac:dyDescent="0.25">
      <c r="A126" s="21"/>
      <c r="B126" s="23" t="s">
        <v>371</v>
      </c>
      <c r="C126" s="23" t="s">
        <v>369</v>
      </c>
      <c r="D126" s="21"/>
      <c r="E126" s="23" t="s">
        <v>320</v>
      </c>
      <c r="F126" s="21"/>
      <c r="G126" s="23" t="s">
        <v>370</v>
      </c>
      <c r="H126" s="35" t="s">
        <v>36</v>
      </c>
      <c r="I126" s="21"/>
      <c r="J126" s="21"/>
      <c r="K126" s="21"/>
    </row>
    <row r="127" spans="1:11" ht="55.2" x14ac:dyDescent="0.25">
      <c r="A127" s="21"/>
      <c r="B127" s="23" t="s">
        <v>372</v>
      </c>
      <c r="C127" s="23" t="s">
        <v>369</v>
      </c>
      <c r="D127" s="21"/>
      <c r="E127" s="23" t="s">
        <v>320</v>
      </c>
      <c r="F127" s="21"/>
      <c r="G127" s="23" t="s">
        <v>370</v>
      </c>
      <c r="H127" s="35" t="s">
        <v>36</v>
      </c>
      <c r="I127" s="21"/>
      <c r="J127" s="21"/>
      <c r="K127" s="21"/>
    </row>
    <row r="128" spans="1:11" ht="55.2" x14ac:dyDescent="0.25">
      <c r="A128" s="21"/>
      <c r="B128" s="23" t="s">
        <v>373</v>
      </c>
      <c r="C128" s="23" t="s">
        <v>369</v>
      </c>
      <c r="D128" s="21"/>
      <c r="E128" s="23" t="s">
        <v>320</v>
      </c>
      <c r="F128" s="21"/>
      <c r="G128" s="23" t="s">
        <v>370</v>
      </c>
      <c r="H128" s="35" t="s">
        <v>36</v>
      </c>
      <c r="I128" s="21"/>
      <c r="J128" s="21"/>
      <c r="K128" s="21"/>
    </row>
    <row r="129" spans="1:11" ht="55.2" x14ac:dyDescent="0.25">
      <c r="A129" s="21"/>
      <c r="B129" s="23" t="s">
        <v>374</v>
      </c>
      <c r="C129" s="23" t="s">
        <v>369</v>
      </c>
      <c r="D129" s="21"/>
      <c r="E129" s="23" t="s">
        <v>320</v>
      </c>
      <c r="F129" s="21"/>
      <c r="G129" s="23" t="s">
        <v>370</v>
      </c>
      <c r="H129" s="35" t="s">
        <v>36</v>
      </c>
      <c r="I129" s="21"/>
      <c r="J129" s="21"/>
      <c r="K129" s="21"/>
    </row>
    <row r="130" spans="1:11" ht="69" x14ac:dyDescent="0.25">
      <c r="A130" s="21"/>
      <c r="B130" s="23" t="s">
        <v>375</v>
      </c>
      <c r="C130" s="23" t="s">
        <v>375</v>
      </c>
      <c r="D130" s="21"/>
      <c r="E130" s="23" t="s">
        <v>376</v>
      </c>
      <c r="F130" s="32" t="s">
        <v>377</v>
      </c>
      <c r="G130" s="28" t="s">
        <v>378</v>
      </c>
      <c r="H130" s="35" t="s">
        <v>36</v>
      </c>
      <c r="I130" s="21"/>
      <c r="J130" s="21"/>
      <c r="K130" s="21"/>
    </row>
    <row r="131" spans="1:11" ht="69" x14ac:dyDescent="0.25">
      <c r="A131" s="21"/>
      <c r="B131" s="23" t="s">
        <v>379</v>
      </c>
      <c r="C131" s="23" t="s">
        <v>379</v>
      </c>
      <c r="D131" s="21"/>
      <c r="E131" s="23" t="s">
        <v>376</v>
      </c>
      <c r="F131" s="23" t="s">
        <v>380</v>
      </c>
      <c r="G131" s="28" t="s">
        <v>378</v>
      </c>
      <c r="H131" s="35" t="s">
        <v>36</v>
      </c>
      <c r="I131" s="21"/>
      <c r="J131" s="21"/>
      <c r="K131" s="21"/>
    </row>
    <row r="132" spans="1:11" x14ac:dyDescent="0.25">
      <c r="A132" s="21"/>
      <c r="B132" s="21"/>
      <c r="C132" s="21"/>
      <c r="D132" s="21"/>
      <c r="E132" s="21"/>
      <c r="F132" s="21"/>
      <c r="G132" s="21"/>
      <c r="H132" s="21"/>
      <c r="I132" s="21"/>
      <c r="J132" s="21"/>
      <c r="K132" s="21"/>
    </row>
    <row r="133" spans="1:11" x14ac:dyDescent="0.25">
      <c r="A133" s="21"/>
      <c r="B133" s="21"/>
      <c r="C133" s="21"/>
      <c r="D133" s="21"/>
      <c r="E133" s="21"/>
      <c r="F133" s="21"/>
      <c r="G133" s="21"/>
      <c r="H133" s="21"/>
      <c r="I133" s="21"/>
      <c r="J133" s="21"/>
      <c r="K133" s="21"/>
    </row>
    <row r="134" spans="1:11" ht="55.2" x14ac:dyDescent="0.25">
      <c r="A134" s="21"/>
      <c r="B134" s="21" t="s">
        <v>381</v>
      </c>
      <c r="C134" s="23" t="s">
        <v>382</v>
      </c>
      <c r="D134" s="21"/>
      <c r="E134" s="21" t="s">
        <v>383</v>
      </c>
      <c r="F134" s="25" t="s">
        <v>384</v>
      </c>
      <c r="G134" s="23" t="s">
        <v>385</v>
      </c>
      <c r="H134" s="35" t="s">
        <v>36</v>
      </c>
      <c r="I134" s="21"/>
      <c r="J134" s="21"/>
      <c r="K134" s="21"/>
    </row>
    <row r="135" spans="1:11" ht="55.2" x14ac:dyDescent="0.25">
      <c r="A135" s="21">
        <v>1</v>
      </c>
      <c r="B135" s="21" t="s">
        <v>386</v>
      </c>
      <c r="C135" s="21" t="s">
        <v>387</v>
      </c>
      <c r="D135" s="21"/>
      <c r="E135" s="21" t="s">
        <v>388</v>
      </c>
      <c r="F135" s="21"/>
      <c r="G135" s="21" t="s">
        <v>389</v>
      </c>
      <c r="H135" s="35" t="s">
        <v>36</v>
      </c>
      <c r="I135" s="21"/>
      <c r="J135" s="21"/>
      <c r="K135" s="21"/>
    </row>
    <row r="136" spans="1:11" ht="55.2" x14ac:dyDescent="0.25">
      <c r="A136" s="21"/>
      <c r="B136" s="21" t="s">
        <v>390</v>
      </c>
      <c r="C136" s="21" t="s">
        <v>391</v>
      </c>
      <c r="D136" s="21"/>
      <c r="E136" s="21" t="s">
        <v>392</v>
      </c>
      <c r="F136" s="28" t="s">
        <v>393</v>
      </c>
      <c r="G136" s="21" t="s">
        <v>394</v>
      </c>
      <c r="H136" s="35" t="s">
        <v>36</v>
      </c>
      <c r="I136" s="21"/>
      <c r="J136" s="21"/>
      <c r="K136" s="21"/>
    </row>
    <row r="137" spans="1:11" ht="55.2" x14ac:dyDescent="0.25">
      <c r="A137" s="21"/>
      <c r="B137" s="21" t="s">
        <v>395</v>
      </c>
      <c r="C137" s="21" t="s">
        <v>396</v>
      </c>
      <c r="D137" s="21"/>
      <c r="E137" s="21" t="s">
        <v>397</v>
      </c>
      <c r="F137" s="21"/>
      <c r="G137" s="21" t="s">
        <v>398</v>
      </c>
      <c r="H137" s="35" t="s">
        <v>36</v>
      </c>
      <c r="I137" s="21"/>
      <c r="J137" s="21"/>
      <c r="K137" s="21"/>
    </row>
    <row r="138" spans="1:11" ht="55.2" x14ac:dyDescent="0.25">
      <c r="A138" s="21"/>
      <c r="B138" s="21" t="s">
        <v>399</v>
      </c>
      <c r="C138" s="21" t="s">
        <v>400</v>
      </c>
      <c r="D138" s="21"/>
      <c r="E138" s="21" t="s">
        <v>401</v>
      </c>
      <c r="F138" s="21"/>
      <c r="G138" s="21" t="s">
        <v>402</v>
      </c>
      <c r="H138" s="35" t="s">
        <v>36</v>
      </c>
      <c r="I138" s="21"/>
      <c r="J138" s="21"/>
      <c r="K138" s="21"/>
    </row>
    <row r="139" spans="1:11" ht="55.2" x14ac:dyDescent="0.25">
      <c r="B139" s="1" t="s">
        <v>403</v>
      </c>
      <c r="E139" s="1" t="s">
        <v>404</v>
      </c>
      <c r="G139" s="1" t="s">
        <v>389</v>
      </c>
      <c r="H139" s="35" t="s">
        <v>36</v>
      </c>
    </row>
    <row r="151" spans="1:11" ht="28.5" customHeight="1" x14ac:dyDescent="0.25">
      <c r="A151" s="56" t="s">
        <v>405</v>
      </c>
      <c r="B151" s="57"/>
      <c r="C151" s="57"/>
      <c r="D151" s="57"/>
      <c r="E151" s="57"/>
      <c r="F151" s="57"/>
      <c r="G151" s="57"/>
      <c r="H151" s="57"/>
      <c r="I151" s="57"/>
      <c r="J151" s="57"/>
      <c r="K151" s="58"/>
    </row>
    <row r="152" spans="1:11" ht="41.4" x14ac:dyDescent="0.25">
      <c r="A152" s="21"/>
      <c r="B152" s="1" t="s">
        <v>406</v>
      </c>
      <c r="C152" s="1" t="s">
        <v>407</v>
      </c>
      <c r="D152" s="1" t="s">
        <v>408</v>
      </c>
      <c r="E152" s="1" t="s">
        <v>409</v>
      </c>
      <c r="G152" s="1" t="s">
        <v>410</v>
      </c>
      <c r="H152" s="35" t="s">
        <v>36</v>
      </c>
      <c r="I152" s="21"/>
      <c r="J152" s="21"/>
      <c r="K152" s="21"/>
    </row>
    <row r="153" spans="1:11" ht="55.2" x14ac:dyDescent="0.25">
      <c r="A153" s="21"/>
      <c r="B153" s="21" t="s">
        <v>411</v>
      </c>
      <c r="C153" s="21" t="s">
        <v>412</v>
      </c>
      <c r="D153" s="21"/>
      <c r="E153" s="21" t="s">
        <v>413</v>
      </c>
      <c r="F153" s="21" t="s">
        <v>414</v>
      </c>
      <c r="G153" s="21" t="s">
        <v>415</v>
      </c>
      <c r="H153" s="35" t="s">
        <v>36</v>
      </c>
      <c r="I153" s="21"/>
      <c r="J153" s="21"/>
      <c r="K153" s="21"/>
    </row>
    <row r="154" spans="1:11" ht="55.2" x14ac:dyDescent="0.25">
      <c r="A154" s="21"/>
      <c r="B154" s="21" t="s">
        <v>416</v>
      </c>
      <c r="C154" s="21" t="s">
        <v>417</v>
      </c>
      <c r="D154" s="21"/>
      <c r="E154" s="21" t="s">
        <v>418</v>
      </c>
      <c r="F154" s="21"/>
      <c r="G154" s="21" t="s">
        <v>419</v>
      </c>
      <c r="H154" s="35" t="s">
        <v>36</v>
      </c>
      <c r="I154" s="21"/>
      <c r="J154" s="21"/>
      <c r="K154" s="21"/>
    </row>
    <row r="155" spans="1:11" ht="41.4" x14ac:dyDescent="0.25">
      <c r="A155" s="21"/>
      <c r="B155" s="21" t="s">
        <v>420</v>
      </c>
      <c r="C155" s="21"/>
      <c r="D155" s="21"/>
      <c r="E155" s="21" t="s">
        <v>418</v>
      </c>
      <c r="F155" s="21"/>
      <c r="G155" s="21" t="s">
        <v>419</v>
      </c>
      <c r="H155" s="35" t="s">
        <v>36</v>
      </c>
      <c r="I155" s="21"/>
      <c r="J155" s="21"/>
      <c r="K155" s="21"/>
    </row>
    <row r="156" spans="1:11" x14ac:dyDescent="0.25">
      <c r="A156" s="21"/>
      <c r="B156" s="21"/>
      <c r="C156" s="21"/>
      <c r="D156" s="21"/>
      <c r="E156" s="21"/>
      <c r="F156" s="21"/>
      <c r="G156" s="21"/>
      <c r="H156" s="35"/>
      <c r="I156" s="21"/>
      <c r="J156" s="21"/>
      <c r="K156" s="21"/>
    </row>
    <row r="157" spans="1:11" ht="41.4" x14ac:dyDescent="0.25">
      <c r="A157" s="21"/>
      <c r="B157" s="21" t="s">
        <v>421</v>
      </c>
      <c r="C157" s="21"/>
      <c r="D157" s="21"/>
      <c r="E157" s="21" t="s">
        <v>418</v>
      </c>
      <c r="F157" s="21"/>
      <c r="G157" s="21" t="s">
        <v>422</v>
      </c>
      <c r="H157" s="35" t="s">
        <v>36</v>
      </c>
      <c r="I157" s="21"/>
      <c r="J157" s="21"/>
      <c r="K157" s="21"/>
    </row>
    <row r="158" spans="1:11" ht="41.4" x14ac:dyDescent="0.25">
      <c r="A158" s="21"/>
      <c r="B158" s="21" t="s">
        <v>423</v>
      </c>
      <c r="C158" s="21" t="s">
        <v>424</v>
      </c>
      <c r="D158" s="21"/>
      <c r="E158" s="21" t="s">
        <v>425</v>
      </c>
      <c r="F158" s="21"/>
      <c r="G158" s="21" t="s">
        <v>426</v>
      </c>
      <c r="H158" s="35" t="s">
        <v>36</v>
      </c>
      <c r="I158" s="21"/>
      <c r="J158" s="21"/>
      <c r="K158" s="21"/>
    </row>
    <row r="159" spans="1:11" ht="69" x14ac:dyDescent="0.25">
      <c r="A159" s="21" t="s">
        <v>427</v>
      </c>
      <c r="B159" s="21" t="s">
        <v>428</v>
      </c>
      <c r="C159" s="21"/>
      <c r="D159" s="21"/>
      <c r="E159" s="21" t="s">
        <v>429</v>
      </c>
      <c r="F159" s="21"/>
      <c r="G159" s="21" t="s">
        <v>430</v>
      </c>
      <c r="H159" s="35" t="s">
        <v>36</v>
      </c>
      <c r="I159" s="21"/>
      <c r="J159" s="21"/>
      <c r="K159" s="21"/>
    </row>
    <row r="160" spans="1:11" ht="69" x14ac:dyDescent="0.25">
      <c r="A160" s="21" t="s">
        <v>427</v>
      </c>
      <c r="B160" s="21" t="s">
        <v>431</v>
      </c>
      <c r="C160" s="21" t="s">
        <v>432</v>
      </c>
      <c r="D160" s="21"/>
      <c r="E160" s="21" t="s">
        <v>433</v>
      </c>
      <c r="F160" s="21"/>
      <c r="G160" s="21" t="s">
        <v>434</v>
      </c>
      <c r="H160" s="35" t="s">
        <v>36</v>
      </c>
      <c r="I160" s="21"/>
      <c r="J160" s="21"/>
      <c r="K160" s="21"/>
    </row>
    <row r="161" spans="1:11" ht="78.75" customHeight="1" x14ac:dyDescent="0.25">
      <c r="A161" s="21" t="s">
        <v>435</v>
      </c>
      <c r="B161" s="1" t="s">
        <v>436</v>
      </c>
      <c r="C161" s="1" t="s">
        <v>437</v>
      </c>
      <c r="E161" s="1" t="s">
        <v>438</v>
      </c>
      <c r="G161" s="1" t="s">
        <v>439</v>
      </c>
      <c r="H161" s="35" t="s">
        <v>36</v>
      </c>
      <c r="I161" s="21"/>
      <c r="J161" s="21"/>
      <c r="K161" s="21"/>
    </row>
    <row r="162" spans="1:11" ht="69" x14ac:dyDescent="0.25">
      <c r="A162" s="21" t="s">
        <v>435</v>
      </c>
      <c r="B162" s="21" t="s">
        <v>440</v>
      </c>
      <c r="C162" s="21" t="s">
        <v>441</v>
      </c>
      <c r="D162" s="21"/>
      <c r="E162" s="21" t="s">
        <v>442</v>
      </c>
      <c r="F162" s="21"/>
      <c r="G162" s="21" t="s">
        <v>443</v>
      </c>
      <c r="H162" s="35" t="s">
        <v>36</v>
      </c>
      <c r="I162" s="21"/>
      <c r="J162" s="21"/>
      <c r="K162" s="21"/>
    </row>
    <row r="163" spans="1:11" x14ac:dyDescent="0.25">
      <c r="A163" s="21"/>
      <c r="B163" s="21"/>
      <c r="C163" s="21"/>
      <c r="D163" s="21"/>
      <c r="E163" s="21"/>
      <c r="F163" s="21"/>
      <c r="G163" s="21"/>
      <c r="H163" s="35"/>
      <c r="I163" s="21"/>
      <c r="J163" s="21"/>
      <c r="K163" s="21"/>
    </row>
    <row r="164" spans="1:11" ht="82.8" x14ac:dyDescent="0.25">
      <c r="A164" s="21"/>
      <c r="B164" s="21" t="s">
        <v>444</v>
      </c>
      <c r="C164" s="21" t="s">
        <v>445</v>
      </c>
      <c r="D164" s="21"/>
      <c r="E164" s="21" t="s">
        <v>446</v>
      </c>
      <c r="F164" s="21"/>
      <c r="G164" s="21" t="s">
        <v>447</v>
      </c>
      <c r="H164" s="35" t="s">
        <v>36</v>
      </c>
      <c r="I164" s="21"/>
      <c r="J164" s="21"/>
      <c r="K164" s="21"/>
    </row>
    <row r="165" spans="1:11" ht="82.8" x14ac:dyDescent="0.25">
      <c r="A165" s="21"/>
      <c r="B165" s="21" t="s">
        <v>448</v>
      </c>
      <c r="C165" s="21" t="s">
        <v>449</v>
      </c>
      <c r="D165" s="21"/>
      <c r="E165" s="21" t="s">
        <v>450</v>
      </c>
      <c r="F165" s="21"/>
      <c r="G165" s="21" t="s">
        <v>451</v>
      </c>
      <c r="H165" s="35" t="s">
        <v>36</v>
      </c>
      <c r="I165" s="21"/>
      <c r="J165" s="21"/>
      <c r="K165" s="21"/>
    </row>
    <row r="166" spans="1:11" ht="55.2" x14ac:dyDescent="0.25">
      <c r="A166" s="21"/>
      <c r="B166" s="21" t="s">
        <v>452</v>
      </c>
      <c r="C166" s="21" t="s">
        <v>453</v>
      </c>
      <c r="D166" s="21"/>
      <c r="E166" s="21" t="s">
        <v>454</v>
      </c>
      <c r="F166" s="21"/>
      <c r="G166" s="21" t="s">
        <v>455</v>
      </c>
      <c r="H166" s="35" t="s">
        <v>36</v>
      </c>
      <c r="I166" s="21"/>
      <c r="J166" s="21"/>
      <c r="K166" s="21"/>
    </row>
    <row r="167" spans="1:11" ht="41.4" x14ac:dyDescent="0.25">
      <c r="B167" s="21" t="s">
        <v>456</v>
      </c>
      <c r="C167" s="21"/>
      <c r="D167" s="21" t="s">
        <v>457</v>
      </c>
      <c r="E167" s="21" t="s">
        <v>458</v>
      </c>
      <c r="F167" s="21" t="s">
        <v>457</v>
      </c>
      <c r="G167" s="21" t="s">
        <v>459</v>
      </c>
      <c r="H167" s="35" t="s">
        <v>36</v>
      </c>
    </row>
  </sheetData>
  <mergeCells count="12">
    <mergeCell ref="A151:K151"/>
    <mergeCell ref="A15:K15"/>
    <mergeCell ref="A1:E3"/>
    <mergeCell ref="A4:C4"/>
    <mergeCell ref="A5:C5"/>
    <mergeCell ref="A6:C6"/>
    <mergeCell ref="A7:C7"/>
    <mergeCell ref="A10:K10"/>
    <mergeCell ref="A70:K70"/>
    <mergeCell ref="A39:K39"/>
    <mergeCell ref="A16:K16"/>
    <mergeCell ref="A69:K69"/>
  </mergeCells>
  <hyperlinks>
    <hyperlink ref="F17" r:id="rId1" xr:uid="{6FA7C165-47E9-455D-B96A-0F206A168796}"/>
    <hyperlink ref="F91" r:id="rId2" xr:uid="{759B6615-2BBF-4143-92A9-44C51C11E46F}"/>
    <hyperlink ref="F92" r:id="rId3" xr:uid="{731688C2-3237-4FD8-8757-B5A610F87FBA}"/>
    <hyperlink ref="F90" r:id="rId4" xr:uid="{C4A38AF8-929C-4251-ACF6-8312782B5CD2}"/>
    <hyperlink ref="F96" r:id="rId5" xr:uid="{4C09377B-E5C1-4239-8909-FA448875449D}"/>
    <hyperlink ref="F97" r:id="rId6" xr:uid="{58766FA8-2E77-4A54-8ADE-4891A1BD0AA2}"/>
    <hyperlink ref="F24" r:id="rId7" xr:uid="{999A03AB-B5DF-427B-90C0-4E170D19CDB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8"/>
  <sheetViews>
    <sheetView topLeftCell="A7" workbookViewId="0">
      <selection sqref="A1:E3"/>
    </sheetView>
  </sheetViews>
  <sheetFormatPr defaultRowHeight="13.8" x14ac:dyDescent="0.25"/>
  <cols>
    <col min="1" max="1" width="16.19921875" customWidth="1"/>
    <col min="2" max="2" width="24.19921875" customWidth="1"/>
    <col min="3" max="3" width="24" customWidth="1"/>
    <col min="4" max="4" width="23.19921875" customWidth="1"/>
    <col min="5" max="5" width="53.59765625" customWidth="1"/>
    <col min="6" max="6" width="23.3984375" customWidth="1"/>
    <col min="7" max="7" width="28" customWidth="1"/>
    <col min="8" max="8" width="13.3984375" customWidth="1"/>
    <col min="9" max="9" width="19.09765625" customWidth="1"/>
    <col min="10" max="10" width="23.3984375" customWidth="1"/>
    <col min="11" max="11" width="29.3984375" customWidth="1"/>
  </cols>
  <sheetData>
    <row r="1" spans="1:11" x14ac:dyDescent="0.25">
      <c r="A1" s="60" t="s">
        <v>0</v>
      </c>
      <c r="B1" s="61"/>
      <c r="C1" s="61"/>
      <c r="D1" s="61"/>
      <c r="E1" s="62"/>
      <c r="F1" s="1"/>
      <c r="G1" s="1"/>
      <c r="H1" s="1"/>
      <c r="I1" s="1"/>
      <c r="J1" s="1"/>
      <c r="K1" s="1"/>
    </row>
    <row r="2" spans="1:11" x14ac:dyDescent="0.25">
      <c r="A2" s="63"/>
      <c r="B2" s="64"/>
      <c r="C2" s="64"/>
      <c r="D2" s="64"/>
      <c r="E2" s="65"/>
      <c r="F2" s="1"/>
      <c r="G2" s="1"/>
      <c r="H2" s="1"/>
      <c r="I2" s="1"/>
      <c r="J2" s="1"/>
      <c r="K2" s="1"/>
    </row>
    <row r="3" spans="1:11" x14ac:dyDescent="0.25">
      <c r="A3" s="66"/>
      <c r="B3" s="67"/>
      <c r="C3" s="67"/>
      <c r="D3" s="67"/>
      <c r="E3" s="68"/>
      <c r="F3" s="1"/>
      <c r="G3" s="1"/>
      <c r="H3" s="1"/>
      <c r="I3" s="1"/>
      <c r="J3" s="1"/>
      <c r="K3" s="1"/>
    </row>
    <row r="4" spans="1:11" x14ac:dyDescent="0.25">
      <c r="A4" s="69" t="s">
        <v>1</v>
      </c>
      <c r="B4" s="70"/>
      <c r="C4" s="71"/>
      <c r="D4" s="2" t="s">
        <v>2</v>
      </c>
      <c r="E4" s="16">
        <f>COUNTIF(H12:H419,"PASS")</f>
        <v>23</v>
      </c>
      <c r="F4" s="3"/>
      <c r="G4" s="3"/>
      <c r="H4" s="3"/>
      <c r="I4" s="3"/>
      <c r="J4" s="3"/>
      <c r="K4" s="3"/>
    </row>
    <row r="5" spans="1:11" x14ac:dyDescent="0.25">
      <c r="A5" s="69" t="s">
        <v>3</v>
      </c>
      <c r="B5" s="70"/>
      <c r="C5" s="71"/>
      <c r="D5" s="2"/>
      <c r="E5" s="16">
        <f>COUNTIF(H12:H419,"FAIL")</f>
        <v>0</v>
      </c>
      <c r="F5" s="3"/>
      <c r="G5" s="3"/>
      <c r="H5" s="3"/>
      <c r="I5" s="3"/>
      <c r="J5" s="3"/>
      <c r="K5" s="3"/>
    </row>
    <row r="6" spans="1:11" x14ac:dyDescent="0.25">
      <c r="A6" s="69" t="s">
        <v>4</v>
      </c>
      <c r="B6" s="70"/>
      <c r="C6" s="71"/>
      <c r="D6" s="2"/>
      <c r="E6" s="16">
        <f>COUNTIF(H12:H419,"Pending")</f>
        <v>0</v>
      </c>
      <c r="G6" s="3"/>
      <c r="H6" s="3"/>
      <c r="I6" s="3"/>
      <c r="J6" s="3"/>
      <c r="K6" s="3"/>
    </row>
    <row r="7" spans="1:11" x14ac:dyDescent="0.25">
      <c r="A7" s="69" t="s">
        <v>5</v>
      </c>
      <c r="B7" s="70"/>
      <c r="C7" s="71"/>
      <c r="D7" s="2"/>
      <c r="E7" s="16">
        <f>COUNTA(H12:H419)</f>
        <v>23</v>
      </c>
      <c r="F7" s="3"/>
      <c r="G7" s="3"/>
      <c r="H7" s="3"/>
      <c r="I7" s="3"/>
      <c r="J7" s="3"/>
      <c r="K7" s="3"/>
    </row>
    <row r="8" spans="1:11" x14ac:dyDescent="0.25">
      <c r="A8" s="4"/>
      <c r="B8" s="5"/>
      <c r="C8" s="5"/>
      <c r="D8" s="5"/>
      <c r="E8" s="5"/>
      <c r="F8" s="6"/>
      <c r="G8" s="6"/>
      <c r="H8" s="6"/>
      <c r="I8" s="6"/>
      <c r="J8" s="6"/>
      <c r="K8" s="6"/>
    </row>
    <row r="9" spans="1:11" ht="37.799999999999997" x14ac:dyDescent="0.25">
      <c r="A9" s="19" t="s">
        <v>6</v>
      </c>
      <c r="B9" s="19" t="s">
        <v>460</v>
      </c>
      <c r="C9" s="19" t="s">
        <v>461</v>
      </c>
      <c r="D9" s="19" t="s">
        <v>462</v>
      </c>
      <c r="E9" s="19" t="s">
        <v>463</v>
      </c>
      <c r="F9" s="19" t="s">
        <v>464</v>
      </c>
      <c r="G9" s="19" t="s">
        <v>465</v>
      </c>
      <c r="H9" s="19" t="s">
        <v>466</v>
      </c>
      <c r="I9" s="19" t="s">
        <v>14</v>
      </c>
      <c r="J9" s="19" t="s">
        <v>15</v>
      </c>
      <c r="K9" s="20" t="s">
        <v>467</v>
      </c>
    </row>
    <row r="10" spans="1:11" ht="110.4" x14ac:dyDescent="0.25">
      <c r="B10" s="1" t="s">
        <v>468</v>
      </c>
      <c r="C10" s="1" t="s">
        <v>469</v>
      </c>
      <c r="E10" s="1" t="s">
        <v>470</v>
      </c>
      <c r="G10" s="1" t="s">
        <v>471</v>
      </c>
    </row>
    <row r="11" spans="1:11" ht="96.6" x14ac:dyDescent="0.25">
      <c r="B11" s="24" t="s">
        <v>472</v>
      </c>
      <c r="C11" s="24" t="s">
        <v>473</v>
      </c>
      <c r="D11" s="36"/>
      <c r="E11" s="24" t="s">
        <v>474</v>
      </c>
      <c r="F11" s="36"/>
      <c r="G11" s="24" t="s">
        <v>475</v>
      </c>
      <c r="H11" s="36" t="s">
        <v>476</v>
      </c>
    </row>
    <row r="12" spans="1:11" ht="82.8" x14ac:dyDescent="0.25">
      <c r="B12" s="1" t="s">
        <v>477</v>
      </c>
      <c r="C12" s="1" t="s">
        <v>478</v>
      </c>
      <c r="E12" s="1" t="s">
        <v>479</v>
      </c>
      <c r="G12" s="1" t="s">
        <v>480</v>
      </c>
    </row>
    <row r="13" spans="1:11" ht="82.8" x14ac:dyDescent="0.25">
      <c r="B13" s="1" t="s">
        <v>481</v>
      </c>
      <c r="C13" s="1" t="s">
        <v>482</v>
      </c>
      <c r="E13" s="1" t="s">
        <v>483</v>
      </c>
      <c r="G13" s="1" t="s">
        <v>484</v>
      </c>
    </row>
    <row r="14" spans="1:11" ht="82.8" x14ac:dyDescent="0.25">
      <c r="B14" s="1" t="s">
        <v>485</v>
      </c>
      <c r="C14" s="1" t="s">
        <v>486</v>
      </c>
      <c r="E14" s="1" t="s">
        <v>487</v>
      </c>
      <c r="G14" s="1" t="s">
        <v>484</v>
      </c>
    </row>
    <row r="15" spans="1:11" ht="96.6" x14ac:dyDescent="0.25">
      <c r="B15" s="1" t="s">
        <v>488</v>
      </c>
      <c r="C15" s="1" t="s">
        <v>489</v>
      </c>
      <c r="E15" s="1" t="s">
        <v>490</v>
      </c>
      <c r="G15" s="1" t="s">
        <v>491</v>
      </c>
    </row>
    <row r="16" spans="1:11" ht="41.4" x14ac:dyDescent="0.25">
      <c r="B16" s="1" t="s">
        <v>492</v>
      </c>
      <c r="C16" s="1" t="s">
        <v>493</v>
      </c>
      <c r="E16" s="1" t="s">
        <v>494</v>
      </c>
      <c r="G16" s="1" t="s">
        <v>495</v>
      </c>
      <c r="H16" s="35" t="s">
        <v>36</v>
      </c>
    </row>
    <row r="17" spans="2:8" ht="82.8" x14ac:dyDescent="0.25">
      <c r="B17" s="1" t="s">
        <v>496</v>
      </c>
      <c r="C17" s="1" t="s">
        <v>497</v>
      </c>
      <c r="E17" s="1" t="s">
        <v>498</v>
      </c>
      <c r="G17" s="1" t="s">
        <v>499</v>
      </c>
      <c r="H17" s="35" t="s">
        <v>36</v>
      </c>
    </row>
    <row r="18" spans="2:8" ht="55.2" x14ac:dyDescent="0.25">
      <c r="B18" s="1" t="s">
        <v>500</v>
      </c>
      <c r="C18" s="1" t="s">
        <v>501</v>
      </c>
      <c r="E18" s="1" t="s">
        <v>502</v>
      </c>
      <c r="G18" s="1" t="s">
        <v>503</v>
      </c>
      <c r="H18" s="35" t="s">
        <v>36</v>
      </c>
    </row>
    <row r="19" spans="2:8" ht="69" x14ac:dyDescent="0.25">
      <c r="B19" s="1" t="s">
        <v>504</v>
      </c>
      <c r="C19" s="1" t="s">
        <v>505</v>
      </c>
      <c r="E19" s="1" t="s">
        <v>506</v>
      </c>
      <c r="G19" s="1" t="s">
        <v>507</v>
      </c>
      <c r="H19" s="35" t="s">
        <v>36</v>
      </c>
    </row>
    <row r="20" spans="2:8" ht="69" x14ac:dyDescent="0.25">
      <c r="B20" s="1" t="s">
        <v>508</v>
      </c>
      <c r="C20" s="1" t="s">
        <v>509</v>
      </c>
      <c r="E20" s="1" t="s">
        <v>510</v>
      </c>
      <c r="G20" s="1" t="s">
        <v>511</v>
      </c>
      <c r="H20" s="35" t="s">
        <v>36</v>
      </c>
    </row>
    <row r="21" spans="2:8" ht="55.2" x14ac:dyDescent="0.25">
      <c r="B21" s="1" t="s">
        <v>512</v>
      </c>
      <c r="C21" s="1" t="s">
        <v>513</v>
      </c>
      <c r="E21" s="1" t="s">
        <v>514</v>
      </c>
      <c r="G21" s="1" t="s">
        <v>515</v>
      </c>
      <c r="H21" s="35" t="s">
        <v>36</v>
      </c>
    </row>
    <row r="22" spans="2:8" ht="96.6" x14ac:dyDescent="0.25">
      <c r="B22" s="1" t="s">
        <v>516</v>
      </c>
      <c r="C22" s="1" t="s">
        <v>517</v>
      </c>
      <c r="E22" s="1" t="s">
        <v>518</v>
      </c>
      <c r="G22" s="1" t="s">
        <v>519</v>
      </c>
      <c r="H22" s="35" t="s">
        <v>36</v>
      </c>
    </row>
    <row r="23" spans="2:8" ht="55.2" x14ac:dyDescent="0.25">
      <c r="B23" s="1" t="s">
        <v>520</v>
      </c>
      <c r="C23" s="1" t="s">
        <v>521</v>
      </c>
      <c r="E23" s="1" t="s">
        <v>522</v>
      </c>
      <c r="G23" s="1" t="s">
        <v>523</v>
      </c>
      <c r="H23" s="35" t="s">
        <v>36</v>
      </c>
    </row>
    <row r="24" spans="2:8" ht="55.2" x14ac:dyDescent="0.25">
      <c r="B24" s="1" t="s">
        <v>524</v>
      </c>
      <c r="C24" s="1" t="s">
        <v>525</v>
      </c>
      <c r="E24" s="1" t="s">
        <v>526</v>
      </c>
      <c r="G24" s="1" t="s">
        <v>527</v>
      </c>
      <c r="H24" s="35" t="s">
        <v>36</v>
      </c>
    </row>
    <row r="25" spans="2:8" ht="55.2" x14ac:dyDescent="0.25">
      <c r="B25" s="1" t="s">
        <v>528</v>
      </c>
      <c r="C25" s="1" t="s">
        <v>529</v>
      </c>
      <c r="E25" s="1" t="s">
        <v>530</v>
      </c>
      <c r="G25" s="1" t="s">
        <v>531</v>
      </c>
      <c r="H25" s="35" t="s">
        <v>36</v>
      </c>
    </row>
    <row r="26" spans="2:8" ht="69" x14ac:dyDescent="0.25">
      <c r="B26" s="1" t="s">
        <v>532</v>
      </c>
      <c r="C26" s="1" t="s">
        <v>533</v>
      </c>
      <c r="E26" s="1" t="s">
        <v>534</v>
      </c>
      <c r="G26" s="1" t="s">
        <v>535</v>
      </c>
      <c r="H26" s="35" t="s">
        <v>36</v>
      </c>
    </row>
    <row r="27" spans="2:8" ht="55.2" x14ac:dyDescent="0.25">
      <c r="B27" s="1" t="s">
        <v>536</v>
      </c>
      <c r="C27" s="1" t="s">
        <v>537</v>
      </c>
      <c r="E27" s="1" t="s">
        <v>538</v>
      </c>
      <c r="G27" s="1" t="s">
        <v>539</v>
      </c>
      <c r="H27" s="35" t="s">
        <v>36</v>
      </c>
    </row>
    <row r="28" spans="2:8" ht="69" x14ac:dyDescent="0.25">
      <c r="B28" s="1" t="s">
        <v>540</v>
      </c>
      <c r="C28" s="1" t="s">
        <v>541</v>
      </c>
      <c r="E28" s="1" t="s">
        <v>542</v>
      </c>
      <c r="G28" s="1" t="s">
        <v>543</v>
      </c>
      <c r="H28" s="35" t="s">
        <v>36</v>
      </c>
    </row>
    <row r="29" spans="2:8" ht="69" x14ac:dyDescent="0.25">
      <c r="B29" s="1" t="s">
        <v>544</v>
      </c>
      <c r="C29" s="1" t="s">
        <v>545</v>
      </c>
      <c r="E29" s="1" t="s">
        <v>546</v>
      </c>
      <c r="G29" s="1" t="s">
        <v>547</v>
      </c>
      <c r="H29" s="35" t="s">
        <v>36</v>
      </c>
    </row>
    <row r="30" spans="2:8" ht="55.2" x14ac:dyDescent="0.25">
      <c r="B30" s="1" t="s">
        <v>548</v>
      </c>
      <c r="C30" s="1" t="s">
        <v>549</v>
      </c>
      <c r="E30" s="1" t="s">
        <v>550</v>
      </c>
      <c r="G30" s="1" t="s">
        <v>551</v>
      </c>
      <c r="H30" s="35" t="s">
        <v>36</v>
      </c>
    </row>
    <row r="31" spans="2:8" ht="69" x14ac:dyDescent="0.25">
      <c r="B31" s="1" t="s">
        <v>552</v>
      </c>
      <c r="C31" s="1" t="s">
        <v>553</v>
      </c>
      <c r="E31" s="1" t="s">
        <v>554</v>
      </c>
      <c r="G31" s="1" t="s">
        <v>555</v>
      </c>
      <c r="H31" s="35" t="s">
        <v>36</v>
      </c>
    </row>
    <row r="32" spans="2:8" ht="69" x14ac:dyDescent="0.25">
      <c r="B32" s="1" t="s">
        <v>556</v>
      </c>
      <c r="C32" s="1" t="s">
        <v>557</v>
      </c>
      <c r="E32" s="1" t="s">
        <v>558</v>
      </c>
      <c r="G32" s="1" t="s">
        <v>559</v>
      </c>
    </row>
    <row r="36" spans="2:8" ht="31.2" x14ac:dyDescent="0.3">
      <c r="B36" s="38" t="s">
        <v>560</v>
      </c>
      <c r="C36" s="37"/>
      <c r="G36" s="37" t="s">
        <v>561</v>
      </c>
      <c r="H36" s="35" t="s">
        <v>36</v>
      </c>
    </row>
    <row r="37" spans="2:8" ht="96.6" x14ac:dyDescent="0.25">
      <c r="B37" s="1" t="s">
        <v>472</v>
      </c>
      <c r="C37" s="1" t="s">
        <v>473</v>
      </c>
      <c r="E37" s="1" t="s">
        <v>474</v>
      </c>
      <c r="G37" s="1" t="s">
        <v>475</v>
      </c>
      <c r="H37" s="35" t="s">
        <v>36</v>
      </c>
    </row>
    <row r="38" spans="2:8" ht="46.8" x14ac:dyDescent="0.3">
      <c r="B38" s="51" t="s">
        <v>562</v>
      </c>
      <c r="C38" s="52"/>
      <c r="D38" s="53"/>
      <c r="E38" s="54"/>
      <c r="F38" s="54" t="s">
        <v>563</v>
      </c>
      <c r="G38" s="55" t="s">
        <v>564</v>
      </c>
      <c r="H38" s="35" t="s">
        <v>36</v>
      </c>
    </row>
    <row r="39" spans="2:8" ht="62.4" x14ac:dyDescent="0.3">
      <c r="B39" s="76" t="s">
        <v>565</v>
      </c>
      <c r="C39" s="77"/>
      <c r="D39" s="49"/>
      <c r="F39" s="54" t="s">
        <v>566</v>
      </c>
      <c r="G39" s="50" t="s">
        <v>567</v>
      </c>
      <c r="H39" s="35"/>
    </row>
    <row r="40" spans="2:8" ht="62.4" x14ac:dyDescent="0.3">
      <c r="B40" s="76" t="s">
        <v>568</v>
      </c>
      <c r="C40" s="77"/>
      <c r="D40" s="49"/>
      <c r="F40" s="54" t="s">
        <v>569</v>
      </c>
      <c r="G40" s="50" t="s">
        <v>567</v>
      </c>
      <c r="H40" s="35"/>
    </row>
    <row r="41" spans="2:8" ht="15.6" x14ac:dyDescent="0.3">
      <c r="B41" s="76" t="s">
        <v>570</v>
      </c>
      <c r="C41" s="77"/>
      <c r="D41" s="49"/>
      <c r="F41" s="54" t="s">
        <v>566</v>
      </c>
      <c r="G41" s="50" t="s">
        <v>571</v>
      </c>
      <c r="H41" s="35"/>
    </row>
    <row r="42" spans="2:8" ht="15.6" x14ac:dyDescent="0.3">
      <c r="B42" s="47" t="s">
        <v>572</v>
      </c>
      <c r="C42" s="48"/>
      <c r="D42" s="49"/>
      <c r="G42" s="50" t="s">
        <v>573</v>
      </c>
      <c r="H42" s="35" t="s">
        <v>36</v>
      </c>
    </row>
    <row r="43" spans="2:8" ht="31.2" x14ac:dyDescent="0.3">
      <c r="B43" s="40" t="s">
        <v>574</v>
      </c>
      <c r="C43" s="41"/>
      <c r="G43" s="42" t="s">
        <v>575</v>
      </c>
      <c r="H43" s="35" t="s">
        <v>36</v>
      </c>
    </row>
    <row r="44" spans="2:8" ht="46.8" x14ac:dyDescent="0.3">
      <c r="B44" s="43" t="s">
        <v>576</v>
      </c>
      <c r="C44" s="44"/>
      <c r="G44" s="45" t="s">
        <v>577</v>
      </c>
      <c r="H44" s="35" t="s">
        <v>36</v>
      </c>
    </row>
    <row r="45" spans="2:8" ht="69.599999999999994" x14ac:dyDescent="0.3">
      <c r="B45" s="43" t="s">
        <v>578</v>
      </c>
      <c r="E45" s="46" t="s">
        <v>579</v>
      </c>
      <c r="G45" t="s">
        <v>580</v>
      </c>
      <c r="H45" s="35" t="s">
        <v>36</v>
      </c>
    </row>
    <row r="46" spans="2:8" x14ac:dyDescent="0.25">
      <c r="E46" s="39"/>
    </row>
    <row r="47" spans="2:8" x14ac:dyDescent="0.25">
      <c r="E47" s="39"/>
    </row>
    <row r="48" spans="2:8" x14ac:dyDescent="0.25">
      <c r="E48" s="39"/>
    </row>
  </sheetData>
  <mergeCells count="8">
    <mergeCell ref="B39:C39"/>
    <mergeCell ref="B40:C40"/>
    <mergeCell ref="B41:C41"/>
    <mergeCell ref="A1:E3"/>
    <mergeCell ref="A4:C4"/>
    <mergeCell ref="A5:C5"/>
    <mergeCell ref="A6:C6"/>
    <mergeCell ref="A7:C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76"/>
  <sheetViews>
    <sheetView zoomScale="85" zoomScaleNormal="85" workbookViewId="0">
      <selection activeCell="A10" sqref="A10:XFD10"/>
    </sheetView>
  </sheetViews>
  <sheetFormatPr defaultRowHeight="13.8" x14ac:dyDescent="0.25"/>
  <cols>
    <col min="1" max="1" width="14" customWidth="1"/>
    <col min="2" max="2" width="32" customWidth="1"/>
    <col min="3" max="3" width="42" customWidth="1"/>
    <col min="4" max="4" width="30" customWidth="1"/>
    <col min="5" max="5" width="48" customWidth="1"/>
    <col min="6" max="6" width="26" customWidth="1"/>
    <col min="7" max="7" width="48" customWidth="1"/>
    <col min="8" max="8" width="16" customWidth="1"/>
    <col min="9" max="9" width="18" customWidth="1"/>
    <col min="10" max="10" width="16" customWidth="1"/>
    <col min="11" max="11" width="28" customWidth="1"/>
  </cols>
  <sheetData>
    <row r="1" spans="1:11" x14ac:dyDescent="0.25">
      <c r="A1" s="60" t="s">
        <v>0</v>
      </c>
      <c r="B1" s="61"/>
      <c r="C1" s="61"/>
      <c r="D1" s="61"/>
      <c r="E1" s="62"/>
    </row>
    <row r="2" spans="1:11" x14ac:dyDescent="0.25">
      <c r="A2" s="63"/>
      <c r="B2" s="64"/>
      <c r="C2" s="64"/>
      <c r="D2" s="64"/>
      <c r="E2" s="65"/>
    </row>
    <row r="3" spans="1:11" x14ac:dyDescent="0.25">
      <c r="A3" s="66"/>
      <c r="B3" s="67"/>
      <c r="C3" s="67"/>
      <c r="D3" s="67"/>
      <c r="E3" s="68"/>
    </row>
    <row r="4" spans="1:11" x14ac:dyDescent="0.25">
      <c r="A4" s="69" t="s">
        <v>1</v>
      </c>
      <c r="B4" s="70"/>
      <c r="C4" s="71"/>
      <c r="D4" s="2" t="s">
        <v>2</v>
      </c>
      <c r="E4" s="16">
        <f>COUNTIF(H12:H398,"PASS")</f>
        <v>0</v>
      </c>
    </row>
    <row r="5" spans="1:11" x14ac:dyDescent="0.25">
      <c r="A5" s="69" t="s">
        <v>3</v>
      </c>
      <c r="B5" s="70"/>
      <c r="C5" s="71"/>
      <c r="D5" s="2"/>
      <c r="E5" s="16">
        <f>COUNTIF(H12:H398,"FAIL")</f>
        <v>0</v>
      </c>
    </row>
    <row r="6" spans="1:11" x14ac:dyDescent="0.25">
      <c r="A6" s="69" t="s">
        <v>4</v>
      </c>
      <c r="B6" s="70"/>
      <c r="C6" s="71"/>
      <c r="D6" s="2"/>
      <c r="E6" s="16">
        <f>COUNTIF(H12:H398,"Pending")</f>
        <v>0</v>
      </c>
    </row>
    <row r="7" spans="1:11" x14ac:dyDescent="0.25">
      <c r="A7" s="69" t="s">
        <v>5</v>
      </c>
      <c r="B7" s="70"/>
      <c r="C7" s="71"/>
      <c r="D7" s="2"/>
      <c r="E7" s="16">
        <f>COUNTA(H12:H398)</f>
        <v>0</v>
      </c>
    </row>
    <row r="9" spans="1:11" ht="43.2" customHeight="1" x14ac:dyDescent="0.25">
      <c r="A9" s="14" t="s">
        <v>6</v>
      </c>
      <c r="B9" s="14" t="s">
        <v>581</v>
      </c>
      <c r="C9" s="14" t="s">
        <v>582</v>
      </c>
      <c r="D9" s="14" t="s">
        <v>583</v>
      </c>
      <c r="E9" s="14" t="s">
        <v>584</v>
      </c>
      <c r="F9" s="14" t="s">
        <v>585</v>
      </c>
      <c r="G9" s="14" t="s">
        <v>586</v>
      </c>
      <c r="H9" s="14" t="s">
        <v>587</v>
      </c>
      <c r="I9" s="14" t="s">
        <v>14</v>
      </c>
      <c r="J9" s="14" t="s">
        <v>15</v>
      </c>
      <c r="K9" s="14" t="s">
        <v>588</v>
      </c>
    </row>
    <row r="10" spans="1:11" ht="54.45" customHeight="1" x14ac:dyDescent="0.25">
      <c r="A10" s="15"/>
      <c r="B10" s="15" t="s">
        <v>589</v>
      </c>
      <c r="C10" s="15" t="s">
        <v>590</v>
      </c>
      <c r="D10" s="15" t="s">
        <v>591</v>
      </c>
      <c r="E10" s="15" t="s">
        <v>592</v>
      </c>
      <c r="F10" s="15" t="s">
        <v>593</v>
      </c>
      <c r="G10" s="15" t="s">
        <v>594</v>
      </c>
      <c r="H10" s="15"/>
      <c r="I10" s="15"/>
      <c r="J10" s="15"/>
      <c r="K10" s="15"/>
    </row>
    <row r="11" spans="1:11" ht="54.45" customHeight="1" x14ac:dyDescent="0.25">
      <c r="A11" s="15"/>
      <c r="B11" s="15" t="s">
        <v>595</v>
      </c>
      <c r="C11" s="15" t="s">
        <v>596</v>
      </c>
      <c r="D11" s="15" t="s">
        <v>597</v>
      </c>
      <c r="E11" s="15" t="s">
        <v>598</v>
      </c>
      <c r="F11" s="15" t="s">
        <v>599</v>
      </c>
      <c r="G11" s="15" t="s">
        <v>600</v>
      </c>
      <c r="H11" s="15"/>
      <c r="I11" s="15"/>
      <c r="J11" s="15"/>
      <c r="K11" s="15"/>
    </row>
    <row r="12" spans="1:11" ht="54.45" customHeight="1" x14ac:dyDescent="0.25">
      <c r="A12" s="15"/>
      <c r="B12" s="15" t="s">
        <v>601</v>
      </c>
      <c r="C12" s="15" t="s">
        <v>602</v>
      </c>
      <c r="D12" s="15" t="s">
        <v>603</v>
      </c>
      <c r="E12" s="15" t="s">
        <v>604</v>
      </c>
      <c r="F12" s="15"/>
      <c r="G12" s="15" t="s">
        <v>605</v>
      </c>
      <c r="H12" s="15"/>
      <c r="I12" s="15"/>
      <c r="J12" s="15"/>
      <c r="K12" s="15"/>
    </row>
    <row r="13" spans="1:11" ht="54.45" customHeight="1" x14ac:dyDescent="0.25">
      <c r="A13" s="15"/>
      <c r="B13" s="15" t="s">
        <v>606</v>
      </c>
      <c r="C13" s="15" t="s">
        <v>607</v>
      </c>
      <c r="D13" s="15" t="s">
        <v>603</v>
      </c>
      <c r="E13" s="15" t="s">
        <v>608</v>
      </c>
      <c r="F13" s="15"/>
      <c r="G13" s="15" t="s">
        <v>609</v>
      </c>
      <c r="H13" s="15"/>
      <c r="I13" s="15"/>
      <c r="J13" s="15"/>
      <c r="K13" s="15"/>
    </row>
    <row r="14" spans="1:11" ht="54.45" customHeight="1" x14ac:dyDescent="0.25">
      <c r="A14" s="15"/>
      <c r="B14" s="15" t="s">
        <v>610</v>
      </c>
      <c r="C14" s="15" t="s">
        <v>611</v>
      </c>
      <c r="D14" s="15" t="s">
        <v>603</v>
      </c>
      <c r="E14" s="15" t="s">
        <v>612</v>
      </c>
      <c r="F14" s="15"/>
      <c r="G14" s="15" t="s">
        <v>613</v>
      </c>
      <c r="H14" s="15"/>
      <c r="I14" s="15"/>
      <c r="J14" s="15"/>
      <c r="K14" s="15"/>
    </row>
    <row r="15" spans="1:11" ht="54.45" customHeight="1" x14ac:dyDescent="0.25">
      <c r="A15" s="15"/>
      <c r="B15" s="15" t="s">
        <v>614</v>
      </c>
      <c r="C15" s="15" t="s">
        <v>615</v>
      </c>
      <c r="D15" s="15" t="s">
        <v>603</v>
      </c>
      <c r="E15" s="15" t="s">
        <v>616</v>
      </c>
      <c r="F15" s="15"/>
      <c r="G15" s="15" t="s">
        <v>617</v>
      </c>
      <c r="H15" s="15"/>
      <c r="I15" s="15"/>
      <c r="J15" s="15"/>
      <c r="K15" s="15"/>
    </row>
    <row r="16" spans="1:11" ht="54.45" customHeight="1" x14ac:dyDescent="0.25">
      <c r="A16" s="15"/>
      <c r="B16" s="15" t="s">
        <v>618</v>
      </c>
      <c r="C16" s="15" t="s">
        <v>619</v>
      </c>
      <c r="D16" s="15" t="s">
        <v>603</v>
      </c>
      <c r="E16" s="15" t="s">
        <v>620</v>
      </c>
      <c r="F16" s="15"/>
      <c r="G16" s="15" t="s">
        <v>621</v>
      </c>
      <c r="H16" s="15"/>
      <c r="I16" s="15"/>
      <c r="J16" s="15"/>
      <c r="K16" s="15"/>
    </row>
    <row r="17" spans="1:11" ht="54.45" customHeight="1" x14ac:dyDescent="0.25">
      <c r="A17" s="15"/>
      <c r="B17" s="15" t="s">
        <v>622</v>
      </c>
      <c r="C17" s="15" t="s">
        <v>623</v>
      </c>
      <c r="D17" s="15" t="s">
        <v>603</v>
      </c>
      <c r="E17" s="15" t="s">
        <v>624</v>
      </c>
      <c r="F17" s="15"/>
      <c r="G17" s="15" t="s">
        <v>625</v>
      </c>
      <c r="H17" s="15"/>
      <c r="I17" s="15"/>
      <c r="J17" s="15"/>
      <c r="K17" s="15"/>
    </row>
    <row r="18" spans="1:11" ht="54.45" customHeight="1" x14ac:dyDescent="0.25">
      <c r="A18" s="15"/>
      <c r="B18" s="15" t="s">
        <v>626</v>
      </c>
      <c r="C18" s="15" t="s">
        <v>627</v>
      </c>
      <c r="D18" s="15" t="s">
        <v>603</v>
      </c>
      <c r="E18" s="15" t="s">
        <v>628</v>
      </c>
      <c r="F18" s="15"/>
      <c r="G18" s="15" t="s">
        <v>629</v>
      </c>
      <c r="H18" s="15"/>
      <c r="I18" s="15"/>
      <c r="J18" s="15"/>
      <c r="K18" s="15"/>
    </row>
    <row r="19" spans="1:11" ht="54.45" customHeight="1" x14ac:dyDescent="0.25">
      <c r="A19" s="15"/>
      <c r="B19" s="15" t="s">
        <v>630</v>
      </c>
      <c r="C19" s="15" t="s">
        <v>631</v>
      </c>
      <c r="D19" s="15" t="s">
        <v>603</v>
      </c>
      <c r="E19" s="15" t="s">
        <v>632</v>
      </c>
      <c r="F19" s="15"/>
      <c r="G19" s="15" t="s">
        <v>633</v>
      </c>
      <c r="H19" s="15"/>
      <c r="I19" s="15"/>
      <c r="J19" s="15"/>
      <c r="K19" s="15"/>
    </row>
    <row r="20" spans="1:11" ht="54.45" customHeight="1" x14ac:dyDescent="0.25">
      <c r="A20" s="15"/>
      <c r="B20" s="15" t="s">
        <v>634</v>
      </c>
      <c r="C20" s="15" t="s">
        <v>635</v>
      </c>
      <c r="D20" s="15" t="s">
        <v>636</v>
      </c>
      <c r="E20" s="15" t="s">
        <v>637</v>
      </c>
      <c r="F20" s="15"/>
      <c r="G20" s="15" t="s">
        <v>638</v>
      </c>
      <c r="H20" s="15"/>
      <c r="I20" s="15"/>
      <c r="J20" s="15"/>
      <c r="K20" s="15"/>
    </row>
    <row r="21" spans="1:11" ht="54.45" customHeight="1" x14ac:dyDescent="0.25">
      <c r="A21" s="15"/>
      <c r="B21" s="15" t="s">
        <v>639</v>
      </c>
      <c r="C21" s="15" t="s">
        <v>640</v>
      </c>
      <c r="D21" s="15" t="s">
        <v>641</v>
      </c>
      <c r="E21" s="15" t="s">
        <v>642</v>
      </c>
      <c r="F21" s="15"/>
      <c r="G21" s="15" t="s">
        <v>643</v>
      </c>
      <c r="H21" s="15"/>
      <c r="I21" s="15"/>
      <c r="J21" s="15"/>
      <c r="K21" s="15"/>
    </row>
    <row r="22" spans="1:11" ht="54.45" customHeight="1" x14ac:dyDescent="0.25">
      <c r="A22" s="15"/>
      <c r="B22" s="15" t="s">
        <v>644</v>
      </c>
      <c r="C22" s="15" t="s">
        <v>645</v>
      </c>
      <c r="D22" s="15" t="s">
        <v>646</v>
      </c>
      <c r="E22" s="15" t="s">
        <v>647</v>
      </c>
      <c r="F22" s="15"/>
      <c r="G22" s="15" t="s">
        <v>648</v>
      </c>
      <c r="H22" s="15"/>
      <c r="I22" s="15"/>
      <c r="J22" s="15"/>
      <c r="K22" s="15"/>
    </row>
    <row r="23" spans="1:11" ht="54.45" customHeight="1" x14ac:dyDescent="0.25">
      <c r="A23" s="15"/>
      <c r="B23" s="15" t="s">
        <v>649</v>
      </c>
      <c r="C23" s="15" t="s">
        <v>650</v>
      </c>
      <c r="D23" s="15" t="s">
        <v>646</v>
      </c>
      <c r="E23" s="15" t="s">
        <v>651</v>
      </c>
      <c r="F23" s="15"/>
      <c r="G23" s="15" t="s">
        <v>648</v>
      </c>
      <c r="H23" s="15"/>
      <c r="I23" s="15"/>
      <c r="J23" s="15"/>
      <c r="K23" s="15"/>
    </row>
    <row r="24" spans="1:11" ht="54.45" customHeight="1" x14ac:dyDescent="0.25">
      <c r="A24" s="15"/>
      <c r="B24" s="15" t="s">
        <v>652</v>
      </c>
      <c r="C24" s="15" t="s">
        <v>653</v>
      </c>
      <c r="D24" s="15" t="s">
        <v>646</v>
      </c>
      <c r="E24" s="15" t="s">
        <v>654</v>
      </c>
      <c r="F24" s="15"/>
      <c r="G24" s="15" t="s">
        <v>655</v>
      </c>
      <c r="H24" s="15"/>
      <c r="I24" s="15"/>
      <c r="J24" s="15"/>
      <c r="K24" s="15"/>
    </row>
    <row r="25" spans="1:11" ht="54.45" customHeight="1" x14ac:dyDescent="0.25">
      <c r="A25" s="15"/>
      <c r="B25" s="15" t="s">
        <v>656</v>
      </c>
      <c r="C25" s="15" t="s">
        <v>657</v>
      </c>
      <c r="D25" s="15" t="s">
        <v>658</v>
      </c>
      <c r="E25" s="15" t="s">
        <v>659</v>
      </c>
      <c r="F25" s="15"/>
      <c r="G25" s="15" t="s">
        <v>660</v>
      </c>
      <c r="H25" s="15"/>
      <c r="I25" s="15"/>
      <c r="J25" s="15"/>
      <c r="K25" s="15"/>
    </row>
    <row r="26" spans="1:11" ht="54.45" customHeight="1" x14ac:dyDescent="0.25">
      <c r="A26" s="15"/>
      <c r="B26" s="15" t="s">
        <v>661</v>
      </c>
      <c r="C26" s="15" t="s">
        <v>662</v>
      </c>
      <c r="D26" s="15" t="s">
        <v>603</v>
      </c>
      <c r="E26" s="15" t="s">
        <v>663</v>
      </c>
      <c r="F26" s="15"/>
      <c r="G26" s="15" t="s">
        <v>664</v>
      </c>
      <c r="H26" s="15"/>
      <c r="I26" s="15"/>
      <c r="J26" s="15"/>
      <c r="K26" s="15"/>
    </row>
    <row r="27" spans="1:11" ht="54.45" customHeight="1" x14ac:dyDescent="0.25">
      <c r="A27" s="15"/>
      <c r="B27" s="15" t="s">
        <v>665</v>
      </c>
      <c r="C27" s="15" t="s">
        <v>666</v>
      </c>
      <c r="D27" s="15" t="s">
        <v>603</v>
      </c>
      <c r="E27" s="15" t="s">
        <v>667</v>
      </c>
      <c r="F27" s="15"/>
      <c r="G27" s="15" t="s">
        <v>668</v>
      </c>
      <c r="H27" s="15"/>
      <c r="I27" s="15"/>
      <c r="J27" s="15"/>
      <c r="K27" s="15"/>
    </row>
    <row r="28" spans="1:11" ht="54.45" customHeight="1" x14ac:dyDescent="0.25">
      <c r="A28" s="15"/>
      <c r="B28" s="15" t="s">
        <v>669</v>
      </c>
      <c r="C28" s="15" t="s">
        <v>670</v>
      </c>
      <c r="D28" s="15" t="s">
        <v>603</v>
      </c>
      <c r="E28" s="15" t="s">
        <v>671</v>
      </c>
      <c r="F28" s="15"/>
      <c r="G28" s="15" t="s">
        <v>672</v>
      </c>
      <c r="H28" s="15"/>
      <c r="I28" s="15"/>
      <c r="J28" s="15"/>
      <c r="K28" s="15"/>
    </row>
    <row r="29" spans="1:11" ht="54.45" customHeight="1" x14ac:dyDescent="0.25">
      <c r="A29" s="15"/>
      <c r="B29" s="15" t="s">
        <v>673</v>
      </c>
      <c r="C29" s="15" t="s">
        <v>674</v>
      </c>
      <c r="D29" s="15" t="s">
        <v>603</v>
      </c>
      <c r="E29" s="15" t="s">
        <v>675</v>
      </c>
      <c r="F29" s="15"/>
      <c r="G29" s="15" t="s">
        <v>676</v>
      </c>
      <c r="H29" s="15"/>
      <c r="I29" s="15"/>
      <c r="J29" s="15"/>
      <c r="K29" s="15"/>
    </row>
    <row r="30" spans="1:11" ht="54.45" customHeight="1" x14ac:dyDescent="0.25">
      <c r="A30" s="15"/>
      <c r="B30" s="15" t="s">
        <v>677</v>
      </c>
      <c r="C30" s="15" t="s">
        <v>678</v>
      </c>
      <c r="D30" s="15" t="s">
        <v>603</v>
      </c>
      <c r="E30" s="15" t="s">
        <v>679</v>
      </c>
      <c r="F30" s="15"/>
      <c r="G30" s="15" t="s">
        <v>680</v>
      </c>
      <c r="H30" s="15"/>
      <c r="I30" s="15"/>
      <c r="J30" s="15"/>
      <c r="K30" s="15"/>
    </row>
    <row r="31" spans="1:11" ht="54.45" customHeight="1" x14ac:dyDescent="0.25">
      <c r="A31" s="15"/>
      <c r="B31" s="15" t="s">
        <v>681</v>
      </c>
      <c r="C31" s="15" t="s">
        <v>682</v>
      </c>
      <c r="D31" s="15" t="s">
        <v>603</v>
      </c>
      <c r="E31" s="15" t="s">
        <v>683</v>
      </c>
      <c r="F31" s="15"/>
      <c r="G31" s="15" t="s">
        <v>684</v>
      </c>
      <c r="H31" s="15"/>
      <c r="I31" s="15"/>
      <c r="J31" s="15"/>
      <c r="K31" s="15"/>
    </row>
    <row r="32" spans="1:11" ht="54.45" customHeight="1" x14ac:dyDescent="0.25">
      <c r="A32" s="15"/>
      <c r="B32" s="15" t="s">
        <v>685</v>
      </c>
      <c r="C32" s="15" t="s">
        <v>686</v>
      </c>
      <c r="D32" s="15" t="s">
        <v>603</v>
      </c>
      <c r="E32" s="15" t="s">
        <v>687</v>
      </c>
      <c r="F32" s="15"/>
      <c r="G32" s="15" t="s">
        <v>688</v>
      </c>
      <c r="H32" s="15"/>
      <c r="I32" s="15"/>
      <c r="J32" s="15"/>
      <c r="K32" s="15"/>
    </row>
    <row r="33" spans="1:11" ht="54.45" customHeight="1" x14ac:dyDescent="0.25">
      <c r="A33" s="15"/>
      <c r="B33" s="15" t="s">
        <v>689</v>
      </c>
      <c r="C33" s="15" t="s">
        <v>690</v>
      </c>
      <c r="D33" s="15" t="s">
        <v>691</v>
      </c>
      <c r="E33" s="15" t="s">
        <v>692</v>
      </c>
      <c r="F33" s="15"/>
      <c r="G33" s="15" t="s">
        <v>693</v>
      </c>
      <c r="H33" s="15"/>
      <c r="I33" s="15"/>
      <c r="J33" s="15"/>
      <c r="K33" s="15"/>
    </row>
    <row r="34" spans="1:11" ht="54.45" customHeight="1" x14ac:dyDescent="0.25">
      <c r="A34" s="15"/>
      <c r="B34" s="15" t="s">
        <v>694</v>
      </c>
      <c r="C34" s="15" t="s">
        <v>695</v>
      </c>
      <c r="D34" s="15" t="s">
        <v>696</v>
      </c>
      <c r="E34" s="15" t="s">
        <v>697</v>
      </c>
      <c r="F34" s="15"/>
      <c r="G34" s="15" t="s">
        <v>698</v>
      </c>
      <c r="H34" s="15"/>
      <c r="I34" s="15"/>
      <c r="J34" s="15"/>
      <c r="K34" s="15"/>
    </row>
    <row r="35" spans="1:11" ht="54.45" customHeight="1" x14ac:dyDescent="0.25">
      <c r="A35" s="15"/>
      <c r="B35" s="15" t="s">
        <v>699</v>
      </c>
      <c r="C35" s="15" t="s">
        <v>700</v>
      </c>
      <c r="D35" s="15" t="s">
        <v>603</v>
      </c>
      <c r="E35" s="15" t="s">
        <v>701</v>
      </c>
      <c r="F35" s="15"/>
      <c r="G35" s="15" t="s">
        <v>702</v>
      </c>
      <c r="H35" s="15"/>
      <c r="I35" s="15"/>
      <c r="J35" s="15"/>
      <c r="K35" s="15"/>
    </row>
    <row r="36" spans="1:11" ht="54.45" customHeight="1" x14ac:dyDescent="0.25">
      <c r="A36" s="15"/>
      <c r="B36" s="15" t="s">
        <v>703</v>
      </c>
      <c r="C36" s="15" t="s">
        <v>704</v>
      </c>
      <c r="D36" s="15" t="s">
        <v>705</v>
      </c>
      <c r="E36" s="15" t="s">
        <v>706</v>
      </c>
      <c r="F36" s="15"/>
      <c r="G36" s="15" t="s">
        <v>707</v>
      </c>
      <c r="H36" s="15"/>
      <c r="I36" s="15"/>
      <c r="J36" s="15"/>
      <c r="K36" s="15"/>
    </row>
    <row r="37" spans="1:11" ht="54.45" customHeight="1" x14ac:dyDescent="0.25">
      <c r="A37" s="15"/>
      <c r="B37" s="15" t="s">
        <v>708</v>
      </c>
      <c r="C37" s="15" t="s">
        <v>709</v>
      </c>
      <c r="D37" s="15" t="s">
        <v>710</v>
      </c>
      <c r="E37" s="15" t="s">
        <v>711</v>
      </c>
      <c r="F37" s="15"/>
      <c r="G37" s="15" t="s">
        <v>712</v>
      </c>
      <c r="H37" s="15"/>
      <c r="I37" s="15"/>
      <c r="J37" s="15"/>
      <c r="K37" s="15"/>
    </row>
    <row r="38" spans="1:11" ht="54.45" customHeight="1" x14ac:dyDescent="0.25">
      <c r="A38" s="15"/>
      <c r="B38" s="15" t="s">
        <v>713</v>
      </c>
      <c r="C38" s="15" t="s">
        <v>714</v>
      </c>
      <c r="D38" s="15" t="s">
        <v>715</v>
      </c>
      <c r="E38" s="15" t="s">
        <v>716</v>
      </c>
      <c r="F38" s="15"/>
      <c r="G38" s="15" t="s">
        <v>717</v>
      </c>
      <c r="H38" s="15"/>
      <c r="I38" s="15"/>
      <c r="J38" s="15"/>
      <c r="K38" s="15"/>
    </row>
    <row r="39" spans="1:11" ht="54.45" customHeight="1" x14ac:dyDescent="0.25">
      <c r="A39" s="15"/>
      <c r="B39" s="15" t="s">
        <v>718</v>
      </c>
      <c r="C39" s="15" t="s">
        <v>719</v>
      </c>
      <c r="D39" s="15" t="s">
        <v>720</v>
      </c>
      <c r="E39" s="15" t="s">
        <v>721</v>
      </c>
      <c r="F39" s="15"/>
      <c r="G39" s="15" t="s">
        <v>722</v>
      </c>
      <c r="H39" s="15"/>
      <c r="I39" s="15"/>
      <c r="J39" s="15"/>
      <c r="K39" s="15"/>
    </row>
    <row r="40" spans="1:11" ht="54.45" customHeight="1" x14ac:dyDescent="0.25">
      <c r="A40" s="15"/>
      <c r="B40" s="15" t="s">
        <v>723</v>
      </c>
      <c r="C40" s="15" t="s">
        <v>724</v>
      </c>
      <c r="D40" s="15" t="s">
        <v>725</v>
      </c>
      <c r="E40" s="15" t="s">
        <v>726</v>
      </c>
      <c r="F40" s="15"/>
      <c r="G40" s="15" t="s">
        <v>727</v>
      </c>
      <c r="H40" s="15"/>
      <c r="I40" s="15"/>
      <c r="J40" s="15"/>
      <c r="K40" s="15"/>
    </row>
    <row r="41" spans="1:11" ht="54.45" customHeight="1" x14ac:dyDescent="0.25">
      <c r="A41" s="15"/>
      <c r="B41" s="15" t="s">
        <v>728</v>
      </c>
      <c r="C41" s="15" t="s">
        <v>729</v>
      </c>
      <c r="D41" s="15" t="s">
        <v>725</v>
      </c>
      <c r="E41" s="15" t="s">
        <v>730</v>
      </c>
      <c r="F41" s="15"/>
      <c r="G41" s="15" t="s">
        <v>731</v>
      </c>
      <c r="H41" s="15"/>
      <c r="I41" s="15"/>
      <c r="J41" s="15"/>
      <c r="K41" s="15"/>
    </row>
    <row r="42" spans="1:11" ht="54.45" customHeight="1" x14ac:dyDescent="0.25">
      <c r="A42" s="15"/>
      <c r="B42" s="15" t="s">
        <v>732</v>
      </c>
      <c r="C42" s="15" t="s">
        <v>733</v>
      </c>
      <c r="D42" s="15" t="s">
        <v>725</v>
      </c>
      <c r="E42" s="15" t="s">
        <v>734</v>
      </c>
      <c r="F42" s="15"/>
      <c r="G42" s="15" t="s">
        <v>735</v>
      </c>
      <c r="H42" s="15"/>
      <c r="I42" s="15"/>
      <c r="J42" s="15"/>
      <c r="K42" s="15"/>
    </row>
    <row r="43" spans="1:11" ht="54.45" customHeight="1" x14ac:dyDescent="0.25">
      <c r="A43" s="15"/>
      <c r="B43" s="15" t="s">
        <v>736</v>
      </c>
      <c r="C43" s="15" t="s">
        <v>737</v>
      </c>
      <c r="D43" s="15" t="s">
        <v>725</v>
      </c>
      <c r="E43" s="15" t="s">
        <v>738</v>
      </c>
      <c r="F43" s="15"/>
      <c r="G43" s="15" t="s">
        <v>739</v>
      </c>
      <c r="H43" s="15"/>
      <c r="I43" s="15"/>
      <c r="J43" s="15"/>
      <c r="K43" s="15"/>
    </row>
    <row r="44" spans="1:11" ht="54.45" customHeight="1" x14ac:dyDescent="0.25">
      <c r="A44" s="15"/>
      <c r="B44" s="15" t="s">
        <v>740</v>
      </c>
      <c r="C44" s="15" t="s">
        <v>741</v>
      </c>
      <c r="D44" s="15" t="s">
        <v>725</v>
      </c>
      <c r="E44" s="15" t="s">
        <v>742</v>
      </c>
      <c r="F44" s="15"/>
      <c r="G44" s="15" t="s">
        <v>743</v>
      </c>
      <c r="H44" s="15"/>
      <c r="I44" s="15"/>
      <c r="J44" s="15"/>
      <c r="K44" s="15"/>
    </row>
    <row r="45" spans="1:11" ht="54.45" customHeight="1" x14ac:dyDescent="0.25">
      <c r="A45" s="15"/>
      <c r="B45" s="15" t="s">
        <v>744</v>
      </c>
      <c r="C45" s="15" t="s">
        <v>745</v>
      </c>
      <c r="D45" s="15" t="s">
        <v>725</v>
      </c>
      <c r="E45" s="15" t="s">
        <v>746</v>
      </c>
      <c r="F45" s="15"/>
      <c r="G45" s="15" t="s">
        <v>747</v>
      </c>
      <c r="H45" s="15"/>
      <c r="I45" s="15"/>
      <c r="J45" s="15"/>
      <c r="K45" s="15"/>
    </row>
    <row r="46" spans="1:11" ht="54.45" customHeight="1" x14ac:dyDescent="0.25">
      <c r="A46" s="15"/>
      <c r="B46" s="15" t="s">
        <v>748</v>
      </c>
      <c r="C46" s="15" t="s">
        <v>749</v>
      </c>
      <c r="D46" s="15" t="s">
        <v>725</v>
      </c>
      <c r="E46" s="15" t="s">
        <v>750</v>
      </c>
      <c r="F46" s="15"/>
      <c r="G46" s="15" t="s">
        <v>751</v>
      </c>
      <c r="H46" s="15"/>
      <c r="I46" s="15"/>
      <c r="J46" s="15"/>
      <c r="K46" s="15"/>
    </row>
    <row r="47" spans="1:11" ht="54.45" customHeight="1" x14ac:dyDescent="0.25">
      <c r="A47" s="15"/>
      <c r="B47" s="15" t="s">
        <v>752</v>
      </c>
      <c r="C47" s="15" t="s">
        <v>753</v>
      </c>
      <c r="D47" s="15" t="s">
        <v>754</v>
      </c>
      <c r="E47" s="15" t="s">
        <v>755</v>
      </c>
      <c r="F47" s="15"/>
      <c r="G47" s="15" t="s">
        <v>756</v>
      </c>
      <c r="H47" s="15"/>
      <c r="I47" s="15"/>
      <c r="J47" s="15"/>
      <c r="K47" s="15"/>
    </row>
    <row r="48" spans="1:11" ht="54.45" customHeight="1" x14ac:dyDescent="0.25">
      <c r="A48" s="15"/>
      <c r="B48" s="15" t="s">
        <v>757</v>
      </c>
      <c r="C48" s="15" t="s">
        <v>758</v>
      </c>
      <c r="D48" s="15" t="s">
        <v>759</v>
      </c>
      <c r="E48" s="15" t="s">
        <v>760</v>
      </c>
      <c r="F48" s="15"/>
      <c r="G48" s="15" t="s">
        <v>761</v>
      </c>
      <c r="H48" s="15"/>
      <c r="I48" s="15"/>
      <c r="J48" s="15"/>
      <c r="K48" s="15"/>
    </row>
    <row r="49" spans="1:11" ht="54.45" customHeight="1" x14ac:dyDescent="0.25">
      <c r="A49" s="15"/>
      <c r="B49" s="15" t="s">
        <v>762</v>
      </c>
      <c r="C49" s="15" t="s">
        <v>763</v>
      </c>
      <c r="D49" s="15" t="s">
        <v>764</v>
      </c>
      <c r="E49" s="15" t="s">
        <v>765</v>
      </c>
      <c r="F49" s="15"/>
      <c r="G49" s="15" t="s">
        <v>766</v>
      </c>
      <c r="H49" s="15"/>
      <c r="I49" s="15"/>
      <c r="J49" s="15"/>
      <c r="K49" s="15"/>
    </row>
    <row r="50" spans="1:11" ht="54.45" customHeight="1" x14ac:dyDescent="0.25">
      <c r="A50" s="15"/>
      <c r="B50" s="15" t="s">
        <v>767</v>
      </c>
      <c r="C50" s="15" t="s">
        <v>768</v>
      </c>
      <c r="D50" s="15" t="s">
        <v>764</v>
      </c>
      <c r="E50" s="15" t="s">
        <v>769</v>
      </c>
      <c r="F50" s="15"/>
      <c r="G50" s="15" t="s">
        <v>770</v>
      </c>
      <c r="H50" s="15"/>
      <c r="I50" s="15"/>
      <c r="J50" s="15"/>
      <c r="K50" s="15"/>
    </row>
    <row r="51" spans="1:11" ht="54.45" customHeight="1" x14ac:dyDescent="0.25">
      <c r="A51" s="15"/>
      <c r="B51" s="15" t="s">
        <v>771</v>
      </c>
      <c r="C51" s="15" t="s">
        <v>772</v>
      </c>
      <c r="D51" s="15" t="s">
        <v>773</v>
      </c>
      <c r="E51" s="15" t="s">
        <v>774</v>
      </c>
      <c r="F51" s="15"/>
      <c r="G51" s="15" t="s">
        <v>775</v>
      </c>
      <c r="H51" s="15"/>
      <c r="I51" s="15"/>
      <c r="J51" s="15"/>
      <c r="K51" s="15"/>
    </row>
    <row r="52" spans="1:11" ht="54.45" customHeight="1" x14ac:dyDescent="0.25">
      <c r="A52" s="15"/>
      <c r="B52" s="15" t="s">
        <v>776</v>
      </c>
      <c r="C52" s="15" t="s">
        <v>777</v>
      </c>
      <c r="D52" s="15" t="s">
        <v>778</v>
      </c>
      <c r="E52" s="15" t="s">
        <v>647</v>
      </c>
      <c r="F52" s="15"/>
      <c r="G52" s="15" t="s">
        <v>648</v>
      </c>
      <c r="H52" s="15"/>
      <c r="I52" s="15"/>
      <c r="J52" s="15"/>
      <c r="K52" s="15"/>
    </row>
    <row r="53" spans="1:11" ht="54.45" customHeight="1" x14ac:dyDescent="0.25">
      <c r="A53" s="15"/>
      <c r="B53" s="15" t="s">
        <v>779</v>
      </c>
      <c r="C53" s="15" t="s">
        <v>780</v>
      </c>
      <c r="D53" s="15" t="s">
        <v>778</v>
      </c>
      <c r="E53" s="15" t="s">
        <v>781</v>
      </c>
      <c r="F53" s="15"/>
      <c r="G53" s="15" t="s">
        <v>782</v>
      </c>
      <c r="H53" s="15"/>
      <c r="I53" s="15"/>
      <c r="J53" s="15"/>
      <c r="K53" s="15"/>
    </row>
    <row r="54" spans="1:11" ht="54.45" customHeight="1" x14ac:dyDescent="0.25">
      <c r="A54" s="15"/>
      <c r="B54" s="15" t="s">
        <v>783</v>
      </c>
      <c r="C54" s="15" t="s">
        <v>784</v>
      </c>
      <c r="D54" s="15" t="s">
        <v>778</v>
      </c>
      <c r="E54" s="15" t="s">
        <v>785</v>
      </c>
      <c r="F54" s="15"/>
      <c r="G54" s="15" t="s">
        <v>786</v>
      </c>
      <c r="H54" s="15"/>
      <c r="I54" s="15"/>
      <c r="J54" s="15"/>
      <c r="K54" s="15"/>
    </row>
    <row r="55" spans="1:11" ht="54.45" customHeight="1" x14ac:dyDescent="0.25">
      <c r="A55" s="15"/>
      <c r="B55" s="15" t="s">
        <v>787</v>
      </c>
      <c r="C55" s="15" t="s">
        <v>788</v>
      </c>
      <c r="D55" s="15" t="s">
        <v>789</v>
      </c>
      <c r="E55" s="15" t="s">
        <v>790</v>
      </c>
      <c r="F55" s="15"/>
      <c r="G55" s="15" t="s">
        <v>791</v>
      </c>
      <c r="H55" s="15"/>
      <c r="I55" s="15"/>
      <c r="J55" s="15"/>
      <c r="K55" s="15"/>
    </row>
    <row r="56" spans="1:11" ht="54.45" customHeight="1" x14ac:dyDescent="0.25">
      <c r="A56" s="15"/>
      <c r="B56" s="15" t="s">
        <v>792</v>
      </c>
      <c r="C56" s="15" t="s">
        <v>793</v>
      </c>
      <c r="D56" s="15" t="s">
        <v>794</v>
      </c>
      <c r="E56" s="15" t="s">
        <v>795</v>
      </c>
      <c r="F56" s="15"/>
      <c r="G56" s="15" t="s">
        <v>796</v>
      </c>
      <c r="H56" s="15"/>
      <c r="I56" s="15"/>
      <c r="J56" s="15"/>
      <c r="K56" s="15"/>
    </row>
    <row r="57" spans="1:11" ht="54.45" customHeight="1" x14ac:dyDescent="0.25">
      <c r="A57" s="15"/>
      <c r="B57" s="15" t="s">
        <v>797</v>
      </c>
      <c r="C57" s="15" t="s">
        <v>798</v>
      </c>
      <c r="D57" s="15" t="s">
        <v>799</v>
      </c>
      <c r="E57" s="15" t="s">
        <v>800</v>
      </c>
      <c r="F57" s="15"/>
      <c r="G57" s="15" t="s">
        <v>801</v>
      </c>
      <c r="H57" s="15"/>
      <c r="I57" s="15"/>
      <c r="J57" s="15"/>
      <c r="K57" s="15"/>
    </row>
    <row r="58" spans="1:11" ht="54.45" customHeight="1" x14ac:dyDescent="0.25">
      <c r="A58" s="15"/>
      <c r="B58" s="15" t="s">
        <v>802</v>
      </c>
      <c r="C58" s="15" t="s">
        <v>803</v>
      </c>
      <c r="D58" s="15" t="s">
        <v>804</v>
      </c>
      <c r="E58" s="15" t="s">
        <v>805</v>
      </c>
      <c r="F58" s="15"/>
      <c r="G58" s="15" t="s">
        <v>806</v>
      </c>
      <c r="H58" s="15"/>
      <c r="I58" s="15"/>
      <c r="J58" s="15"/>
      <c r="K58" s="15"/>
    </row>
    <row r="59" spans="1:11" ht="54.45" customHeight="1" x14ac:dyDescent="0.25">
      <c r="A59" s="15"/>
      <c r="B59" s="15" t="s">
        <v>807</v>
      </c>
      <c r="C59" s="15" t="s">
        <v>808</v>
      </c>
      <c r="D59" s="15" t="s">
        <v>809</v>
      </c>
      <c r="E59" s="15" t="s">
        <v>810</v>
      </c>
      <c r="F59" s="15"/>
      <c r="G59" s="15" t="s">
        <v>811</v>
      </c>
      <c r="H59" s="15"/>
      <c r="I59" s="15"/>
      <c r="J59" s="15"/>
      <c r="K59" s="15"/>
    </row>
    <row r="60" spans="1:11" ht="54.45" customHeight="1" x14ac:dyDescent="0.25">
      <c r="A60" s="15"/>
      <c r="B60" s="15" t="s">
        <v>812</v>
      </c>
      <c r="C60" s="15" t="s">
        <v>813</v>
      </c>
      <c r="D60" s="15" t="s">
        <v>814</v>
      </c>
      <c r="E60" s="15" t="s">
        <v>815</v>
      </c>
      <c r="F60" s="15"/>
      <c r="G60" s="15" t="s">
        <v>816</v>
      </c>
      <c r="H60" s="15"/>
      <c r="I60" s="15"/>
      <c r="J60" s="15"/>
      <c r="K60" s="15"/>
    </row>
    <row r="61" spans="1:11" ht="54.45" customHeight="1" x14ac:dyDescent="0.25">
      <c r="A61" s="15"/>
      <c r="B61" s="15" t="s">
        <v>817</v>
      </c>
      <c r="C61" s="15" t="s">
        <v>818</v>
      </c>
      <c r="D61" s="15" t="s">
        <v>819</v>
      </c>
      <c r="E61" s="15" t="s">
        <v>820</v>
      </c>
      <c r="F61" s="15"/>
      <c r="G61" s="15" t="s">
        <v>821</v>
      </c>
      <c r="H61" s="15"/>
      <c r="I61" s="15"/>
      <c r="J61" s="15"/>
      <c r="K61" s="15"/>
    </row>
    <row r="62" spans="1:11" ht="54.45" customHeight="1" x14ac:dyDescent="0.25">
      <c r="A62" s="15"/>
      <c r="B62" s="15" t="s">
        <v>822</v>
      </c>
      <c r="C62" s="15" t="s">
        <v>823</v>
      </c>
      <c r="D62" s="15" t="s">
        <v>824</v>
      </c>
      <c r="E62" s="15" t="s">
        <v>825</v>
      </c>
      <c r="F62" s="15"/>
      <c r="G62" s="15" t="s">
        <v>826</v>
      </c>
      <c r="H62" s="15"/>
      <c r="I62" s="15"/>
      <c r="J62" s="15"/>
      <c r="K62" s="15"/>
    </row>
    <row r="63" spans="1:11" ht="54.45" customHeight="1" x14ac:dyDescent="0.25">
      <c r="A63" s="15"/>
      <c r="B63" s="15" t="s">
        <v>827</v>
      </c>
      <c r="C63" s="15" t="s">
        <v>828</v>
      </c>
      <c r="D63" s="15"/>
      <c r="E63" s="15" t="s">
        <v>829</v>
      </c>
      <c r="F63" s="15"/>
      <c r="G63" s="15" t="s">
        <v>830</v>
      </c>
      <c r="H63" s="15"/>
      <c r="I63" s="15"/>
      <c r="J63" s="15"/>
      <c r="K63" s="15"/>
    </row>
    <row r="64" spans="1:11" ht="54.45" customHeight="1" x14ac:dyDescent="0.25">
      <c r="A64" s="15"/>
      <c r="B64" s="15" t="s">
        <v>831</v>
      </c>
      <c r="C64" s="15" t="s">
        <v>832</v>
      </c>
      <c r="D64" s="15" t="s">
        <v>833</v>
      </c>
      <c r="E64" s="15" t="s">
        <v>834</v>
      </c>
      <c r="F64" s="15"/>
      <c r="G64" s="15" t="s">
        <v>835</v>
      </c>
      <c r="H64" s="15"/>
      <c r="I64" s="15"/>
      <c r="J64" s="15"/>
      <c r="K64" s="15"/>
    </row>
    <row r="65" spans="1:11" ht="54.45" customHeight="1" x14ac:dyDescent="0.25">
      <c r="A65" s="15"/>
      <c r="B65" s="15" t="s">
        <v>836</v>
      </c>
      <c r="C65" s="15" t="s">
        <v>837</v>
      </c>
      <c r="D65" s="15" t="s">
        <v>838</v>
      </c>
      <c r="E65" s="15" t="s">
        <v>839</v>
      </c>
      <c r="F65" s="15"/>
      <c r="G65" s="15" t="s">
        <v>840</v>
      </c>
      <c r="H65" s="15"/>
      <c r="I65" s="15"/>
      <c r="J65" s="15"/>
      <c r="K65" s="15"/>
    </row>
    <row r="66" spans="1:11" ht="54.45" customHeight="1" x14ac:dyDescent="0.25">
      <c r="A66" s="15"/>
      <c r="B66" s="15" t="s">
        <v>841</v>
      </c>
      <c r="C66" s="15" t="s">
        <v>842</v>
      </c>
      <c r="D66" s="15" t="s">
        <v>843</v>
      </c>
      <c r="E66" s="15" t="s">
        <v>844</v>
      </c>
      <c r="F66" s="15"/>
      <c r="G66" s="15" t="s">
        <v>845</v>
      </c>
      <c r="H66" s="15"/>
      <c r="I66" s="15"/>
      <c r="J66" s="15"/>
      <c r="K66" s="15"/>
    </row>
    <row r="67" spans="1:11" ht="54.45" customHeight="1" x14ac:dyDescent="0.25">
      <c r="A67" s="15"/>
      <c r="B67" s="15" t="s">
        <v>846</v>
      </c>
      <c r="C67" s="15" t="s">
        <v>847</v>
      </c>
      <c r="D67" s="15" t="s">
        <v>848</v>
      </c>
      <c r="E67" s="15" t="s">
        <v>849</v>
      </c>
      <c r="F67" s="15"/>
      <c r="G67" s="15" t="s">
        <v>850</v>
      </c>
      <c r="H67" s="15"/>
      <c r="I67" s="15"/>
      <c r="J67" s="15"/>
      <c r="K67" s="15"/>
    </row>
    <row r="68" spans="1:11" ht="54.45" customHeight="1" x14ac:dyDescent="0.25">
      <c r="A68" s="15"/>
      <c r="B68" s="15" t="s">
        <v>851</v>
      </c>
      <c r="C68" s="15" t="s">
        <v>852</v>
      </c>
      <c r="D68" s="15" t="s">
        <v>853</v>
      </c>
      <c r="E68" s="15" t="s">
        <v>854</v>
      </c>
      <c r="F68" s="15"/>
      <c r="G68" s="15" t="s">
        <v>855</v>
      </c>
      <c r="H68" s="15"/>
      <c r="I68" s="15"/>
      <c r="J68" s="15"/>
      <c r="K68" s="15"/>
    </row>
    <row r="69" spans="1:11" ht="54.45" customHeight="1" x14ac:dyDescent="0.25">
      <c r="A69" s="15"/>
      <c r="B69" s="15" t="s">
        <v>856</v>
      </c>
      <c r="C69" s="15" t="s">
        <v>857</v>
      </c>
      <c r="D69" s="15" t="s">
        <v>858</v>
      </c>
      <c r="E69" s="15" t="s">
        <v>859</v>
      </c>
      <c r="F69" s="15"/>
      <c r="G69" s="15" t="s">
        <v>860</v>
      </c>
      <c r="H69" s="15"/>
      <c r="I69" s="15"/>
      <c r="J69" s="15"/>
      <c r="K69" s="15"/>
    </row>
    <row r="70" spans="1:11" ht="54.45" customHeight="1" x14ac:dyDescent="0.25">
      <c r="A70" s="15"/>
      <c r="B70" s="15" t="s">
        <v>861</v>
      </c>
      <c r="C70" s="15" t="s">
        <v>862</v>
      </c>
      <c r="D70" s="15" t="s">
        <v>863</v>
      </c>
      <c r="E70" s="15" t="s">
        <v>859</v>
      </c>
      <c r="F70" s="15"/>
      <c r="G70" s="15" t="s">
        <v>864</v>
      </c>
      <c r="H70" s="15"/>
      <c r="I70" s="15"/>
      <c r="J70" s="15"/>
      <c r="K70" s="15"/>
    </row>
    <row r="71" spans="1:11" ht="54.45" customHeight="1" x14ac:dyDescent="0.25">
      <c r="A71" s="15"/>
      <c r="B71" s="15" t="s">
        <v>865</v>
      </c>
      <c r="C71" s="15" t="s">
        <v>866</v>
      </c>
      <c r="D71" s="15" t="s">
        <v>867</v>
      </c>
      <c r="E71" s="15" t="s">
        <v>868</v>
      </c>
      <c r="F71" s="15"/>
      <c r="G71" s="15" t="s">
        <v>869</v>
      </c>
      <c r="H71" s="15"/>
      <c r="I71" s="15"/>
      <c r="J71" s="15"/>
      <c r="K71" s="15"/>
    </row>
    <row r="72" spans="1:11" ht="54.45" customHeight="1" x14ac:dyDescent="0.25">
      <c r="A72" s="15"/>
      <c r="B72" s="15" t="s">
        <v>870</v>
      </c>
      <c r="C72" s="15" t="s">
        <v>871</v>
      </c>
      <c r="D72" s="15" t="s">
        <v>872</v>
      </c>
      <c r="E72" s="15" t="s">
        <v>873</v>
      </c>
      <c r="F72" s="15"/>
      <c r="G72" s="15" t="s">
        <v>874</v>
      </c>
      <c r="H72" s="15"/>
      <c r="I72" s="15"/>
      <c r="J72" s="15"/>
      <c r="K72" s="15"/>
    </row>
    <row r="73" spans="1:11" ht="54.45" customHeight="1" x14ac:dyDescent="0.25">
      <c r="A73" s="15"/>
      <c r="B73" s="15" t="s">
        <v>875</v>
      </c>
      <c r="C73" s="15" t="s">
        <v>876</v>
      </c>
      <c r="D73" s="15" t="s">
        <v>877</v>
      </c>
      <c r="E73" s="15" t="s">
        <v>878</v>
      </c>
      <c r="F73" s="15"/>
      <c r="G73" s="15" t="s">
        <v>879</v>
      </c>
      <c r="H73" s="15"/>
      <c r="I73" s="15"/>
      <c r="J73" s="15"/>
      <c r="K73" s="15"/>
    </row>
    <row r="74" spans="1:11" ht="54.45" customHeight="1" x14ac:dyDescent="0.25">
      <c r="A74" s="15"/>
      <c r="B74" s="15" t="s">
        <v>880</v>
      </c>
      <c r="C74" s="15" t="s">
        <v>881</v>
      </c>
      <c r="D74" s="15" t="s">
        <v>882</v>
      </c>
      <c r="E74" s="15" t="s">
        <v>883</v>
      </c>
      <c r="F74" s="15"/>
      <c r="G74" s="15" t="s">
        <v>884</v>
      </c>
      <c r="H74" s="15"/>
      <c r="I74" s="15"/>
      <c r="J74" s="15"/>
      <c r="K74" s="15"/>
    </row>
    <row r="75" spans="1:11" ht="54.45" customHeight="1" x14ac:dyDescent="0.25">
      <c r="A75" s="15"/>
      <c r="B75" s="15" t="s">
        <v>885</v>
      </c>
      <c r="C75" s="15" t="s">
        <v>886</v>
      </c>
      <c r="D75" s="15" t="s">
        <v>887</v>
      </c>
      <c r="E75" s="15" t="s">
        <v>888</v>
      </c>
      <c r="F75" s="15"/>
      <c r="G75" s="15" t="s">
        <v>889</v>
      </c>
      <c r="H75" s="15"/>
      <c r="I75" s="15"/>
      <c r="J75" s="15"/>
      <c r="K75" s="15"/>
    </row>
    <row r="76" spans="1:11" ht="54.45" customHeight="1" x14ac:dyDescent="0.25">
      <c r="A76" s="15"/>
      <c r="B76" s="15" t="s">
        <v>890</v>
      </c>
      <c r="C76" s="15" t="s">
        <v>891</v>
      </c>
      <c r="D76" s="15" t="s">
        <v>892</v>
      </c>
      <c r="E76" s="15" t="s">
        <v>893</v>
      </c>
      <c r="F76" s="15"/>
      <c r="G76" s="15" t="s">
        <v>894</v>
      </c>
      <c r="H76" s="15"/>
      <c r="I76" s="15"/>
      <c r="J76" s="15"/>
      <c r="K76" s="15"/>
    </row>
  </sheetData>
  <mergeCells count="5">
    <mergeCell ref="A1:E3"/>
    <mergeCell ref="A4:C4"/>
    <mergeCell ref="A5:C5"/>
    <mergeCell ref="A6:C6"/>
    <mergeCell ref="A7:C7"/>
  </mergeCells>
  <conditionalFormatting sqref="H10:H76">
    <cfRule type="expression" dxfId="2" priority="1">
      <formula>H10="PASS"</formula>
    </cfRule>
    <cfRule type="expression" dxfId="1" priority="2">
      <formula>H10="FAIL"</formula>
    </cfRule>
    <cfRule type="expression" dxfId="0" priority="3">
      <formula>H10="Pending"</formula>
    </cfRule>
  </conditionalFormatting>
  <dataValidations count="1">
    <dataValidation type="list" sqref="H10:H76" xr:uid="{00000000-0002-0000-0600-000000000000}">
      <formula1>"PASS,FAIL,Pending,N/A"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0"/>
  <sheetViews>
    <sheetView topLeftCell="A11" workbookViewId="0">
      <selection activeCell="E22" sqref="E22"/>
    </sheetView>
  </sheetViews>
  <sheetFormatPr defaultRowHeight="13.8" x14ac:dyDescent="0.25"/>
  <cols>
    <col min="1" max="1" width="16.19921875" customWidth="1"/>
    <col min="2" max="2" width="24.19921875" customWidth="1"/>
    <col min="3" max="3" width="16.3984375" customWidth="1"/>
    <col min="4" max="4" width="23.19921875" customWidth="1"/>
    <col min="5" max="5" width="53.59765625" customWidth="1"/>
    <col min="6" max="6" width="23.3984375" customWidth="1"/>
    <col min="7" max="7" width="28" customWidth="1"/>
    <col min="8" max="8" width="13.3984375" customWidth="1"/>
    <col min="9" max="9" width="19.09765625" customWidth="1"/>
    <col min="10" max="10" width="23.3984375" customWidth="1"/>
    <col min="11" max="11" width="29.3984375" customWidth="1"/>
  </cols>
  <sheetData>
    <row r="1" spans="1:11" x14ac:dyDescent="0.25">
      <c r="A1" s="60" t="s">
        <v>0</v>
      </c>
      <c r="B1" s="61"/>
      <c r="C1" s="61"/>
      <c r="D1" s="61"/>
      <c r="E1" s="62"/>
      <c r="F1" s="1"/>
      <c r="G1" s="1"/>
      <c r="H1" s="1"/>
      <c r="I1" s="1"/>
      <c r="J1" s="1"/>
      <c r="K1" s="1"/>
    </row>
    <row r="2" spans="1:11" x14ac:dyDescent="0.25">
      <c r="A2" s="63"/>
      <c r="B2" s="64"/>
      <c r="C2" s="64"/>
      <c r="D2" s="64"/>
      <c r="E2" s="65"/>
      <c r="F2" s="1"/>
      <c r="G2" s="1"/>
      <c r="H2" s="1"/>
      <c r="I2" s="1"/>
      <c r="J2" s="1"/>
      <c r="K2" s="1"/>
    </row>
    <row r="3" spans="1:11" x14ac:dyDescent="0.25">
      <c r="A3" s="66"/>
      <c r="B3" s="67"/>
      <c r="C3" s="67"/>
      <c r="D3" s="67"/>
      <c r="E3" s="68"/>
      <c r="F3" s="1"/>
      <c r="G3" s="1"/>
      <c r="H3" s="1"/>
      <c r="I3" s="1"/>
      <c r="J3" s="1"/>
      <c r="K3" s="1"/>
    </row>
    <row r="4" spans="1:11" x14ac:dyDescent="0.25">
      <c r="A4" s="69" t="s">
        <v>1</v>
      </c>
      <c r="B4" s="70"/>
      <c r="C4" s="71"/>
      <c r="D4" s="2" t="s">
        <v>2</v>
      </c>
      <c r="E4" s="16">
        <f>COUNTIF(H12:H402,"PASS")</f>
        <v>0</v>
      </c>
      <c r="F4" s="3"/>
      <c r="G4" s="3"/>
      <c r="H4" s="3"/>
      <c r="I4" s="3"/>
      <c r="J4" s="3"/>
      <c r="K4" s="3"/>
    </row>
    <row r="5" spans="1:11" x14ac:dyDescent="0.25">
      <c r="A5" s="69" t="s">
        <v>3</v>
      </c>
      <c r="B5" s="70"/>
      <c r="C5" s="71"/>
      <c r="D5" s="2"/>
      <c r="E5" s="16">
        <f>COUNTIF(H12:H402,"FAIL")</f>
        <v>0</v>
      </c>
      <c r="F5" s="3"/>
      <c r="G5" s="3"/>
      <c r="H5" s="3"/>
      <c r="I5" s="3"/>
      <c r="J5" s="3"/>
      <c r="K5" s="3"/>
    </row>
    <row r="6" spans="1:11" x14ac:dyDescent="0.25">
      <c r="A6" s="69" t="s">
        <v>4</v>
      </c>
      <c r="B6" s="70"/>
      <c r="C6" s="71"/>
      <c r="D6" s="2"/>
      <c r="E6" s="16">
        <f>COUNTIF(H12:H402,"Pending")</f>
        <v>0</v>
      </c>
      <c r="G6" s="3"/>
      <c r="H6" s="3"/>
      <c r="I6" s="3"/>
      <c r="J6" s="3"/>
      <c r="K6" s="3"/>
    </row>
    <row r="7" spans="1:11" x14ac:dyDescent="0.25">
      <c r="A7" s="69" t="s">
        <v>5</v>
      </c>
      <c r="B7" s="70"/>
      <c r="C7" s="71"/>
      <c r="D7" s="2"/>
      <c r="E7" s="16">
        <f>COUNTA(H12:H402)</f>
        <v>0</v>
      </c>
      <c r="F7" s="3"/>
      <c r="G7" s="3"/>
      <c r="H7" s="3"/>
      <c r="I7" s="3"/>
      <c r="J7" s="3"/>
      <c r="K7" s="3"/>
    </row>
    <row r="8" spans="1:11" x14ac:dyDescent="0.25">
      <c r="A8" s="4"/>
      <c r="B8" s="5"/>
      <c r="C8" s="5"/>
      <c r="D8" s="5"/>
      <c r="E8" s="5"/>
      <c r="F8" s="6"/>
      <c r="G8" s="6"/>
      <c r="H8" s="6"/>
      <c r="I8" s="6"/>
      <c r="J8" s="6"/>
      <c r="K8" s="6"/>
    </row>
    <row r="9" spans="1:11" ht="37.799999999999997" x14ac:dyDescent="0.25">
      <c r="A9" s="19" t="s">
        <v>6</v>
      </c>
      <c r="B9" s="19" t="s">
        <v>460</v>
      </c>
      <c r="C9" s="19" t="s">
        <v>461</v>
      </c>
      <c r="D9" s="19" t="s">
        <v>462</v>
      </c>
      <c r="E9" s="19" t="s">
        <v>463</v>
      </c>
      <c r="F9" s="19" t="s">
        <v>464</v>
      </c>
      <c r="G9" s="19" t="s">
        <v>465</v>
      </c>
      <c r="H9" s="19" t="s">
        <v>466</v>
      </c>
      <c r="I9" s="19" t="s">
        <v>14</v>
      </c>
      <c r="J9" s="19" t="s">
        <v>15</v>
      </c>
      <c r="K9" s="20" t="s">
        <v>467</v>
      </c>
    </row>
    <row r="10" spans="1:11" ht="41.4" x14ac:dyDescent="0.25">
      <c r="A10" s="13"/>
      <c r="B10" s="3" t="s">
        <v>896</v>
      </c>
      <c r="C10" s="3" t="s">
        <v>901</v>
      </c>
      <c r="D10" s="13"/>
      <c r="E10" s="3" t="s">
        <v>902</v>
      </c>
      <c r="F10" s="13"/>
      <c r="G10" s="3" t="s">
        <v>903</v>
      </c>
    </row>
    <row r="11" spans="1:11" ht="41.4" x14ac:dyDescent="0.25">
      <c r="A11" s="3"/>
      <c r="B11" s="3" t="s">
        <v>896</v>
      </c>
      <c r="C11" s="3" t="s">
        <v>904</v>
      </c>
      <c r="E11" s="3" t="s">
        <v>905</v>
      </c>
      <c r="F11" s="3"/>
      <c r="G11" s="3" t="s">
        <v>906</v>
      </c>
    </row>
    <row r="12" spans="1:11" ht="41.4" x14ac:dyDescent="0.25">
      <c r="A12" s="3"/>
      <c r="B12" s="3" t="s">
        <v>896</v>
      </c>
      <c r="C12" s="3" t="s">
        <v>907</v>
      </c>
      <c r="E12" s="3" t="s">
        <v>908</v>
      </c>
      <c r="F12" s="3"/>
      <c r="G12" s="3" t="s">
        <v>909</v>
      </c>
    </row>
    <row r="13" spans="1:11" ht="41.4" x14ac:dyDescent="0.25">
      <c r="A13" s="3"/>
      <c r="B13" s="3" t="s">
        <v>896</v>
      </c>
      <c r="C13" s="3" t="s">
        <v>910</v>
      </c>
      <c r="E13" s="3" t="s">
        <v>911</v>
      </c>
      <c r="F13" s="3"/>
      <c r="G13" s="3" t="s">
        <v>912</v>
      </c>
    </row>
    <row r="14" spans="1:11" ht="41.4" x14ac:dyDescent="0.25">
      <c r="A14" s="3"/>
      <c r="B14" s="3" t="s">
        <v>896</v>
      </c>
      <c r="C14" s="3" t="s">
        <v>913</v>
      </c>
      <c r="E14" s="3" t="s">
        <v>898</v>
      </c>
      <c r="F14" s="3"/>
      <c r="G14" s="3" t="s">
        <v>914</v>
      </c>
    </row>
    <row r="15" spans="1:11" ht="41.4" x14ac:dyDescent="0.25">
      <c r="A15" s="3"/>
      <c r="B15" s="3" t="s">
        <v>900</v>
      </c>
      <c r="C15" s="3" t="s">
        <v>915</v>
      </c>
      <c r="E15" s="3" t="s">
        <v>899</v>
      </c>
      <c r="F15" s="3"/>
      <c r="G15" s="3" t="s">
        <v>916</v>
      </c>
    </row>
    <row r="16" spans="1:11" ht="27.6" x14ac:dyDescent="0.25">
      <c r="A16" s="3"/>
      <c r="B16" s="3" t="s">
        <v>900</v>
      </c>
      <c r="C16" s="3" t="s">
        <v>917</v>
      </c>
      <c r="E16" s="3" t="s">
        <v>918</v>
      </c>
      <c r="F16" s="3"/>
      <c r="G16" s="3" t="s">
        <v>919</v>
      </c>
    </row>
    <row r="17" spans="1:11" ht="41.4" x14ac:dyDescent="0.25">
      <c r="A17" s="3"/>
      <c r="B17" s="3" t="s">
        <v>900</v>
      </c>
      <c r="C17" s="3" t="s">
        <v>920</v>
      </c>
      <c r="E17" s="3" t="s">
        <v>899</v>
      </c>
      <c r="F17" s="3"/>
      <c r="G17" s="3" t="s">
        <v>921</v>
      </c>
    </row>
    <row r="18" spans="1:11" ht="27.6" x14ac:dyDescent="0.25">
      <c r="A18" s="3"/>
      <c r="B18" s="3" t="s">
        <v>897</v>
      </c>
      <c r="C18" s="3" t="s">
        <v>922</v>
      </c>
      <c r="E18" s="3" t="s">
        <v>923</v>
      </c>
      <c r="F18" s="3"/>
      <c r="G18" s="3" t="s">
        <v>924</v>
      </c>
    </row>
    <row r="19" spans="1:11" ht="27.6" x14ac:dyDescent="0.25">
      <c r="A19" s="3"/>
      <c r="B19" s="3" t="s">
        <v>897</v>
      </c>
      <c r="C19" s="3" t="s">
        <v>925</v>
      </c>
      <c r="E19" s="3" t="s">
        <v>926</v>
      </c>
      <c r="F19" s="3"/>
      <c r="G19" s="3" t="s">
        <v>927</v>
      </c>
    </row>
    <row r="20" spans="1:11" x14ac:dyDescent="0.25">
      <c r="A20" s="78"/>
      <c r="B20" s="78"/>
      <c r="C20" s="78"/>
      <c r="D20" s="78"/>
      <c r="E20" s="78"/>
      <c r="F20" s="78"/>
      <c r="G20" s="78"/>
      <c r="H20" s="78"/>
      <c r="I20" s="78"/>
      <c r="J20" s="78"/>
      <c r="K20" s="78"/>
    </row>
    <row r="21" spans="1:11" ht="27.6" x14ac:dyDescent="0.25">
      <c r="A21" s="3"/>
      <c r="B21" s="3" t="s">
        <v>895</v>
      </c>
      <c r="C21" s="3" t="s">
        <v>928</v>
      </c>
      <c r="E21" s="3" t="s">
        <v>929</v>
      </c>
      <c r="F21" s="3"/>
      <c r="G21" s="3" t="s">
        <v>930</v>
      </c>
    </row>
    <row r="22" spans="1:11" ht="41.4" x14ac:dyDescent="0.25">
      <c r="A22" s="3"/>
      <c r="B22" s="3" t="s">
        <v>896</v>
      </c>
      <c r="C22" s="3" t="s">
        <v>931</v>
      </c>
      <c r="E22" s="3" t="s">
        <v>932</v>
      </c>
      <c r="F22" s="3"/>
      <c r="G22" s="3" t="s">
        <v>933</v>
      </c>
    </row>
    <row r="23" spans="1:11" ht="55.2" x14ac:dyDescent="0.25">
      <c r="A23" s="3"/>
      <c r="B23" s="3" t="s">
        <v>896</v>
      </c>
      <c r="C23" s="3" t="s">
        <v>931</v>
      </c>
      <c r="E23" s="3" t="s">
        <v>934</v>
      </c>
      <c r="F23" s="3"/>
      <c r="G23" s="3" t="s">
        <v>935</v>
      </c>
    </row>
    <row r="24" spans="1:11" ht="27.6" x14ac:dyDescent="0.25">
      <c r="A24" s="3"/>
      <c r="B24" s="3" t="s">
        <v>896</v>
      </c>
      <c r="C24" s="3" t="s">
        <v>936</v>
      </c>
      <c r="E24" s="3" t="s">
        <v>937</v>
      </c>
      <c r="F24" s="3"/>
      <c r="G24" s="3" t="s">
        <v>938</v>
      </c>
    </row>
    <row r="25" spans="1:11" ht="41.4" x14ac:dyDescent="0.25">
      <c r="A25" s="3"/>
      <c r="B25" s="3" t="s">
        <v>896</v>
      </c>
      <c r="C25" s="3" t="s">
        <v>939</v>
      </c>
      <c r="E25" s="3" t="s">
        <v>940</v>
      </c>
      <c r="F25" s="3"/>
      <c r="G25" s="3" t="s">
        <v>941</v>
      </c>
    </row>
    <row r="26" spans="1:11" ht="41.4" x14ac:dyDescent="0.25">
      <c r="A26" s="3"/>
      <c r="B26" s="3" t="s">
        <v>896</v>
      </c>
      <c r="C26" s="3" t="s">
        <v>942</v>
      </c>
      <c r="E26" s="3" t="s">
        <v>943</v>
      </c>
      <c r="F26" s="3"/>
      <c r="G26" s="3" t="s">
        <v>944</v>
      </c>
    </row>
    <row r="27" spans="1:11" ht="55.2" x14ac:dyDescent="0.25">
      <c r="A27" s="3"/>
      <c r="B27" s="3" t="s">
        <v>896</v>
      </c>
      <c r="C27" s="3" t="s">
        <v>945</v>
      </c>
      <c r="E27" s="3" t="s">
        <v>946</v>
      </c>
      <c r="F27" s="3"/>
      <c r="G27" s="3" t="s">
        <v>947</v>
      </c>
    </row>
    <row r="28" spans="1:11" ht="41.4" x14ac:dyDescent="0.25">
      <c r="A28" s="3"/>
      <c r="B28" s="3" t="s">
        <v>896</v>
      </c>
      <c r="C28" s="3" t="s">
        <v>948</v>
      </c>
      <c r="E28" s="3" t="s">
        <v>949</v>
      </c>
      <c r="F28" s="3"/>
      <c r="G28" s="3" t="s">
        <v>950</v>
      </c>
    </row>
    <row r="29" spans="1:11" ht="27.6" x14ac:dyDescent="0.25">
      <c r="A29" s="3"/>
      <c r="B29" s="3" t="s">
        <v>896</v>
      </c>
      <c r="C29" s="3" t="s">
        <v>951</v>
      </c>
      <c r="E29" s="3" t="s">
        <v>952</v>
      </c>
      <c r="F29" s="3"/>
      <c r="G29" s="3" t="s">
        <v>953</v>
      </c>
    </row>
    <row r="30" spans="1:11" ht="41.4" x14ac:dyDescent="0.25">
      <c r="B30" s="3" t="s">
        <v>896</v>
      </c>
      <c r="C30" s="3" t="s">
        <v>954</v>
      </c>
      <c r="E30" s="3" t="s">
        <v>955</v>
      </c>
      <c r="G30" s="3" t="s">
        <v>956</v>
      </c>
    </row>
  </sheetData>
  <mergeCells count="6">
    <mergeCell ref="A20:K20"/>
    <mergeCell ref="A1:E3"/>
    <mergeCell ref="A4:C4"/>
    <mergeCell ref="A5:C5"/>
    <mergeCell ref="A6:C6"/>
    <mergeCell ref="A7: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5"/>
  <sheetViews>
    <sheetView workbookViewId="0">
      <selection activeCell="C17" sqref="C17"/>
    </sheetView>
  </sheetViews>
  <sheetFormatPr defaultRowHeight="13.8" x14ac:dyDescent="0.25"/>
  <cols>
    <col min="1" max="1" width="16.19921875" customWidth="1"/>
    <col min="2" max="2" width="24.19921875" customWidth="1"/>
    <col min="3" max="3" width="16.3984375" customWidth="1"/>
    <col min="4" max="4" width="23.19921875" customWidth="1"/>
    <col min="5" max="5" width="53.59765625" customWidth="1"/>
    <col min="6" max="6" width="23.3984375" customWidth="1"/>
    <col min="7" max="7" width="28" customWidth="1"/>
    <col min="8" max="8" width="13.3984375" customWidth="1"/>
    <col min="9" max="9" width="19.09765625" customWidth="1"/>
    <col min="10" max="10" width="23.3984375" customWidth="1"/>
    <col min="11" max="11" width="29.3984375" customWidth="1"/>
  </cols>
  <sheetData>
    <row r="1" spans="1:11" x14ac:dyDescent="0.25">
      <c r="A1" s="60" t="s">
        <v>0</v>
      </c>
      <c r="B1" s="61"/>
      <c r="C1" s="61"/>
      <c r="D1" s="61"/>
      <c r="E1" s="62"/>
      <c r="F1" s="1"/>
      <c r="G1" s="1"/>
      <c r="H1" s="1"/>
      <c r="I1" s="1"/>
      <c r="J1" s="1"/>
      <c r="K1" s="1"/>
    </row>
    <row r="2" spans="1:11" x14ac:dyDescent="0.25">
      <c r="A2" s="63"/>
      <c r="B2" s="64"/>
      <c r="C2" s="64"/>
      <c r="D2" s="64"/>
      <c r="E2" s="65"/>
      <c r="F2" s="1"/>
      <c r="G2" s="1"/>
      <c r="H2" s="1"/>
      <c r="I2" s="1"/>
      <c r="J2" s="1"/>
      <c r="K2" s="1"/>
    </row>
    <row r="3" spans="1:11" x14ac:dyDescent="0.25">
      <c r="A3" s="66"/>
      <c r="B3" s="67"/>
      <c r="C3" s="67"/>
      <c r="D3" s="67"/>
      <c r="E3" s="68"/>
      <c r="F3" s="1"/>
      <c r="G3" s="1"/>
      <c r="H3" s="1"/>
      <c r="I3" s="1"/>
      <c r="J3" s="1"/>
      <c r="K3" s="1"/>
    </row>
    <row r="4" spans="1:11" x14ac:dyDescent="0.25">
      <c r="A4" s="69" t="s">
        <v>1</v>
      </c>
      <c r="B4" s="70"/>
      <c r="C4" s="71"/>
      <c r="D4" s="2" t="s">
        <v>2</v>
      </c>
      <c r="E4" s="16">
        <f>COUNTIF(H12:H419,"PASS")</f>
        <v>0</v>
      </c>
      <c r="F4" s="3"/>
      <c r="G4" s="3"/>
      <c r="H4" s="3"/>
      <c r="I4" s="3"/>
      <c r="J4" s="3"/>
      <c r="K4" s="3"/>
    </row>
    <row r="5" spans="1:11" x14ac:dyDescent="0.25">
      <c r="A5" s="69" t="s">
        <v>3</v>
      </c>
      <c r="B5" s="70"/>
      <c r="C5" s="71"/>
      <c r="D5" s="2"/>
      <c r="E5" s="16">
        <f>COUNTIF(H12:H419,"FAIL")</f>
        <v>0</v>
      </c>
      <c r="F5" s="3"/>
      <c r="G5" s="3"/>
      <c r="H5" s="3"/>
      <c r="I5" s="3"/>
      <c r="J5" s="3"/>
      <c r="K5" s="3"/>
    </row>
    <row r="6" spans="1:11" x14ac:dyDescent="0.25">
      <c r="A6" s="69" t="s">
        <v>4</v>
      </c>
      <c r="B6" s="70"/>
      <c r="C6" s="71"/>
      <c r="D6" s="2"/>
      <c r="E6" s="16">
        <f>COUNTIF(H12:H419,"Pending")</f>
        <v>0</v>
      </c>
      <c r="G6" s="3"/>
      <c r="H6" s="3"/>
      <c r="I6" s="3"/>
      <c r="J6" s="3"/>
      <c r="K6" s="3"/>
    </row>
    <row r="7" spans="1:11" x14ac:dyDescent="0.25">
      <c r="A7" s="69" t="s">
        <v>5</v>
      </c>
      <c r="B7" s="70"/>
      <c r="C7" s="71"/>
      <c r="D7" s="2"/>
      <c r="E7" s="16">
        <f>COUNTA(H12:H419)</f>
        <v>0</v>
      </c>
      <c r="F7" s="3"/>
      <c r="G7" s="3"/>
      <c r="H7" s="3"/>
      <c r="I7" s="3"/>
      <c r="J7" s="3"/>
      <c r="K7" s="3"/>
    </row>
    <row r="8" spans="1:11" x14ac:dyDescent="0.25">
      <c r="A8" s="4"/>
      <c r="B8" s="5"/>
      <c r="C8" s="5"/>
      <c r="D8" s="5"/>
      <c r="E8" s="5"/>
      <c r="F8" s="6"/>
      <c r="G8" s="6"/>
      <c r="H8" s="6"/>
      <c r="I8" s="6"/>
      <c r="J8" s="6"/>
      <c r="K8" s="6"/>
    </row>
    <row r="9" spans="1:11" ht="37.799999999999997" x14ac:dyDescent="0.25">
      <c r="A9" s="19" t="s">
        <v>6</v>
      </c>
      <c r="B9" s="19" t="s">
        <v>460</v>
      </c>
      <c r="C9" s="19" t="s">
        <v>461</v>
      </c>
      <c r="D9" s="19" t="s">
        <v>462</v>
      </c>
      <c r="E9" s="19" t="s">
        <v>463</v>
      </c>
      <c r="F9" s="19" t="s">
        <v>464</v>
      </c>
      <c r="G9" s="19" t="s">
        <v>465</v>
      </c>
      <c r="H9" s="19" t="s">
        <v>466</v>
      </c>
      <c r="I9" s="19" t="s">
        <v>14</v>
      </c>
      <c r="J9" s="19" t="s">
        <v>15</v>
      </c>
      <c r="K9" s="20" t="s">
        <v>467</v>
      </c>
    </row>
    <row r="25" spans="4:4" x14ac:dyDescent="0.25">
      <c r="D25" s="12"/>
    </row>
  </sheetData>
  <mergeCells count="5">
    <mergeCell ref="A1:E3"/>
    <mergeCell ref="A4:C4"/>
    <mergeCell ref="A5:C5"/>
    <mergeCell ref="A6:C6"/>
    <mergeCell ref="A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Đăng ký</vt:lpstr>
      <vt:lpstr>Đăng nhập</vt:lpstr>
      <vt:lpstr>Quên mật khẩu</vt:lpstr>
      <vt:lpstr>Thanh toán gói</vt:lpstr>
      <vt:lpstr>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Phan Sy</cp:lastModifiedBy>
  <cp:revision/>
  <dcterms:created xsi:type="dcterms:W3CDTF">2026-06-04T10:32:02Z</dcterms:created>
  <dcterms:modified xsi:type="dcterms:W3CDTF">2026-07-17T10:35:27Z</dcterms:modified>
  <cp:category/>
  <cp:contentStatus/>
</cp:coreProperties>
</file>